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22E68647-3C60-695B-3CA0-4895CD717B8A}"/>
  <workbookPr filterPrivacy="1" codeName="ThisWorkbook" defaultThemeVersion="166925"/>
  <xr:revisionPtr revIDLastSave="0" documentId="13_ncr:1_{DBB48920-690E-42FF-90AB-34DA8C239B8F}" xr6:coauthVersionLast="41" xr6:coauthVersionMax="41" xr10:uidLastSave="{00000000-0000-0000-0000-000000000000}"/>
  <bookViews>
    <workbookView xWindow="-114" yWindow="-114" windowWidth="27602" windowHeight="16738" tabRatio="935" firstSheet="4" activeTab="15" xr2:uid="{00000000-000D-0000-FFFF-FFFF00000000}"/>
  </bookViews>
  <sheets>
    <sheet name="_Asset Data Types" sheetId="4" state="hidden" r:id="rId1"/>
    <sheet name="_InternalListManagement" sheetId="23" state="hidden" r:id="rId2"/>
    <sheet name="_InternalUnitManagement" sheetId="21" state="hidden" r:id="rId3"/>
    <sheet name="_AssetNames" sheetId="25" state="hidden" r:id="rId4"/>
    <sheet name="_Filter Groups" sheetId="24" r:id="rId5"/>
    <sheet name="_Pick List Definitions" sheetId="19" r:id="rId6"/>
    <sheet name="_AssetTemplateDescription" sheetId="7" state="hidden" r:id="rId7"/>
    <sheet name="_AssetTemplate" sheetId="8" state="hidden" r:id="rId8"/>
    <sheet name="_Blank Asset" sheetId="20" r:id="rId9"/>
    <sheet name="Sign Panel Basic" sheetId="26" r:id="rId10"/>
    <sheet name="Sign (Stop)" sheetId="35" r:id="rId11"/>
    <sheet name="Sign (Stop) Lookup" sheetId="33" r:id="rId12"/>
    <sheet name="Sign Location" sheetId="29" r:id="rId13"/>
    <sheet name="Sign (Speed)" sheetId="31" r:id="rId14"/>
    <sheet name="Sign (Speed) Lookup" sheetId="34" r:id="rId15"/>
    <sheet name="Guardrail" sheetId="30" r:id="rId16"/>
  </sheets>
  <definedNames>
    <definedName name="AssetNames">_AssetNames!$A$1:$A$7</definedName>
    <definedName name="ECUnits">_InternalUnitManagement!$B:$B</definedName>
    <definedName name="PickLists">'_Pick List Definitions'!$A$2:$A$32768</definedName>
    <definedName name="PropertyDataType">_InternalListManagement!$B$1:$B$6</definedName>
    <definedName name="RowHeader">_InternalListManagement!$A$1:$A$3</definedName>
    <definedName name="SpecialValues">_InternalListManagement!$C$1:$C$15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24" l="1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AAA1" i="24"/>
  <c r="AAB1" i="24"/>
  <c r="AAC1" i="24"/>
  <c r="AAD1" i="24"/>
  <c r="AAE1" i="24"/>
  <c r="AAF1" i="24"/>
  <c r="AAG1" i="24"/>
  <c r="AAH1" i="24"/>
  <c r="AAI1" i="24"/>
  <c r="AAJ1" i="24"/>
  <c r="AAK1" i="24"/>
  <c r="AAL1" i="24"/>
  <c r="AAM1" i="24"/>
  <c r="AAN1" i="24"/>
  <c r="AAO1" i="24"/>
  <c r="AAP1" i="24"/>
  <c r="AAQ1" i="24"/>
  <c r="AAR1" i="24"/>
  <c r="AAS1" i="24"/>
  <c r="AAT1" i="24"/>
  <c r="AAU1" i="24"/>
  <c r="AAV1" i="24"/>
  <c r="AAW1" i="24"/>
  <c r="AAX1" i="24"/>
  <c r="AAY1" i="24"/>
  <c r="AAZ1" i="24"/>
  <c r="ABA1" i="24"/>
  <c r="ABB1" i="24"/>
  <c r="ABC1" i="24"/>
  <c r="ABD1" i="24"/>
  <c r="ABE1" i="24"/>
  <c r="ABF1" i="24"/>
  <c r="ABG1" i="24"/>
  <c r="ABH1" i="24"/>
  <c r="ABI1" i="24"/>
  <c r="ABJ1" i="24"/>
  <c r="ABK1" i="24"/>
  <c r="ABL1" i="24"/>
  <c r="ABM1" i="24"/>
  <c r="ABN1" i="24"/>
  <c r="ABO1" i="24"/>
  <c r="ABP1" i="24"/>
  <c r="ABQ1" i="24"/>
  <c r="ABR1" i="24"/>
  <c r="ABS1" i="24"/>
  <c r="ABT1" i="24"/>
  <c r="ABU1" i="24"/>
  <c r="ABV1" i="24"/>
  <c r="ABW1" i="24"/>
  <c r="ABX1" i="24"/>
  <c r="ABY1" i="24"/>
  <c r="ABZ1" i="24"/>
  <c r="ACA1" i="24"/>
  <c r="ACB1" i="24"/>
  <c r="ACC1" i="24"/>
  <c r="ACD1" i="24"/>
  <c r="ACE1" i="24"/>
  <c r="ACF1" i="24"/>
  <c r="ACG1" i="24"/>
  <c r="ACH1" i="24"/>
  <c r="ACI1" i="24"/>
  <c r="ACJ1" i="24"/>
  <c r="ACK1" i="24"/>
  <c r="ACL1" i="24"/>
  <c r="ACM1" i="24"/>
  <c r="ACN1" i="24"/>
  <c r="ACO1" i="24"/>
  <c r="ACP1" i="24"/>
  <c r="ACQ1" i="24"/>
  <c r="ACR1" i="24"/>
  <c r="ACS1" i="24"/>
  <c r="ACT1" i="24"/>
  <c r="ACU1" i="24"/>
  <c r="ACV1" i="24"/>
  <c r="ACW1" i="24"/>
  <c r="ACX1" i="24"/>
  <c r="ACY1" i="24"/>
  <c r="ACZ1" i="24"/>
  <c r="ADA1" i="24"/>
  <c r="ADB1" i="24"/>
  <c r="ADC1" i="24"/>
  <c r="ADD1" i="24"/>
  <c r="ADE1" i="24"/>
  <c r="ADF1" i="24"/>
  <c r="ADG1" i="24"/>
  <c r="ADH1" i="24"/>
  <c r="ADI1" i="24"/>
  <c r="ADJ1" i="24"/>
  <c r="ADK1" i="24"/>
  <c r="ADL1" i="24"/>
  <c r="ADM1" i="24"/>
  <c r="ADN1" i="24"/>
  <c r="ADO1" i="24"/>
  <c r="ADP1" i="24"/>
  <c r="ADQ1" i="24"/>
  <c r="ADR1" i="24"/>
  <c r="ADS1" i="24"/>
  <c r="ADT1" i="24"/>
  <c r="ADU1" i="24"/>
  <c r="ADV1" i="24"/>
  <c r="ADW1" i="24"/>
  <c r="ADX1" i="24"/>
  <c r="ADY1" i="24"/>
  <c r="ADZ1" i="24"/>
  <c r="AEA1" i="24"/>
  <c r="AEB1" i="24"/>
  <c r="AEC1" i="24"/>
  <c r="AED1" i="24"/>
  <c r="AEE1" i="24"/>
  <c r="AEF1" i="24"/>
  <c r="AEG1" i="24"/>
  <c r="AEH1" i="24"/>
  <c r="AEI1" i="24"/>
  <c r="AEJ1" i="24"/>
  <c r="AEK1" i="24"/>
  <c r="AEL1" i="24"/>
  <c r="AEM1" i="24"/>
  <c r="AEN1" i="24"/>
  <c r="AEO1" i="24"/>
  <c r="AEP1" i="24"/>
  <c r="AEQ1" i="24"/>
  <c r="AER1" i="24"/>
  <c r="AES1" i="24"/>
  <c r="AET1" i="24"/>
  <c r="AEU1" i="24"/>
  <c r="AEV1" i="24"/>
  <c r="AEW1" i="24"/>
  <c r="AEX1" i="24"/>
  <c r="AEY1" i="24"/>
  <c r="AEZ1" i="24"/>
  <c r="AFA1" i="24"/>
  <c r="AFB1" i="24"/>
  <c r="AFC1" i="24"/>
  <c r="AFD1" i="24"/>
  <c r="AFE1" i="24"/>
  <c r="AFF1" i="24"/>
  <c r="AFG1" i="24"/>
  <c r="AFH1" i="24"/>
  <c r="AFI1" i="24"/>
  <c r="AFJ1" i="24"/>
  <c r="AFK1" i="24"/>
  <c r="AFL1" i="24"/>
  <c r="AFM1" i="24"/>
  <c r="AFN1" i="24"/>
  <c r="AFO1" i="24"/>
  <c r="AFP1" i="24"/>
  <c r="AFQ1" i="24"/>
  <c r="AFR1" i="24"/>
  <c r="AFS1" i="24"/>
  <c r="AFT1" i="24"/>
  <c r="AFU1" i="24"/>
  <c r="AFV1" i="24"/>
  <c r="AFW1" i="24"/>
  <c r="AFX1" i="24"/>
  <c r="AFY1" i="24"/>
  <c r="AFZ1" i="24"/>
  <c r="AGA1" i="24"/>
  <c r="AGB1" i="24"/>
  <c r="AGC1" i="24"/>
  <c r="AGD1" i="24"/>
  <c r="AGE1" i="24"/>
  <c r="AGF1" i="24"/>
  <c r="AGG1" i="24"/>
  <c r="AGH1" i="24"/>
  <c r="AGI1" i="24"/>
  <c r="AGJ1" i="24"/>
  <c r="AGK1" i="24"/>
  <c r="AGL1" i="24"/>
  <c r="AGM1" i="24"/>
  <c r="AGN1" i="24"/>
  <c r="AGO1" i="24"/>
  <c r="AGP1" i="24"/>
  <c r="AGQ1" i="24"/>
  <c r="AGR1" i="24"/>
  <c r="AGS1" i="24"/>
  <c r="AGT1" i="24"/>
  <c r="AGU1" i="24"/>
  <c r="AGV1" i="24"/>
  <c r="AGW1" i="24"/>
  <c r="AGX1" i="24"/>
  <c r="AGY1" i="24"/>
  <c r="AGZ1" i="24"/>
  <c r="AHA1" i="24"/>
  <c r="AHB1" i="24"/>
  <c r="AHC1" i="24"/>
  <c r="AHD1" i="24"/>
  <c r="AHE1" i="24"/>
  <c r="AHF1" i="24"/>
  <c r="AHG1" i="24"/>
  <c r="AHH1" i="24"/>
  <c r="AHI1" i="24"/>
  <c r="AHJ1" i="24"/>
  <c r="AHK1" i="24"/>
  <c r="AHL1" i="24"/>
  <c r="AHM1" i="24"/>
  <c r="AHN1" i="24"/>
  <c r="AHO1" i="24"/>
  <c r="AHP1" i="24"/>
  <c r="AHQ1" i="24"/>
  <c r="AHR1" i="24"/>
  <c r="AHS1" i="24"/>
  <c r="AHT1" i="24"/>
  <c r="AHU1" i="24"/>
  <c r="AHV1" i="24"/>
  <c r="AHW1" i="24"/>
  <c r="AHX1" i="24"/>
  <c r="AHY1" i="24"/>
  <c r="AHZ1" i="24"/>
  <c r="AIA1" i="24"/>
  <c r="AIB1" i="24"/>
  <c r="AIC1" i="24"/>
  <c r="AID1" i="24"/>
  <c r="AIE1" i="24"/>
  <c r="AIF1" i="24"/>
  <c r="AIG1" i="24"/>
  <c r="AIH1" i="24"/>
  <c r="AII1" i="24"/>
  <c r="AIJ1" i="24"/>
  <c r="AIK1" i="24"/>
  <c r="AIL1" i="24"/>
  <c r="AIM1" i="24"/>
  <c r="AIN1" i="24"/>
  <c r="AIO1" i="24"/>
  <c r="AIP1" i="24"/>
  <c r="AIQ1" i="24"/>
  <c r="AIR1" i="24"/>
  <c r="AIS1" i="24"/>
  <c r="AIT1" i="24"/>
  <c r="AIU1" i="24"/>
  <c r="AIV1" i="24"/>
  <c r="AIW1" i="24"/>
  <c r="AIX1" i="24"/>
  <c r="AIY1" i="24"/>
  <c r="AIZ1" i="24"/>
  <c r="AJA1" i="24"/>
  <c r="AJB1" i="24"/>
  <c r="AJC1" i="24"/>
  <c r="AJD1" i="24"/>
  <c r="AJE1" i="24"/>
  <c r="AJF1" i="24"/>
  <c r="AJG1" i="24"/>
  <c r="AJH1" i="24"/>
  <c r="AJI1" i="24"/>
  <c r="AJJ1" i="24"/>
  <c r="AJK1" i="24"/>
  <c r="AJL1" i="24"/>
  <c r="AJM1" i="24"/>
  <c r="AJN1" i="24"/>
  <c r="AJO1" i="24"/>
  <c r="AJP1" i="24"/>
  <c r="AJQ1" i="24"/>
  <c r="AJR1" i="24"/>
  <c r="AJS1" i="24"/>
  <c r="AJT1" i="24"/>
  <c r="AJU1" i="24"/>
  <c r="AJV1" i="24"/>
  <c r="AJW1" i="24"/>
  <c r="AJX1" i="24"/>
  <c r="AJY1" i="24"/>
  <c r="AJZ1" i="24"/>
  <c r="AKA1" i="24"/>
  <c r="AKB1" i="24"/>
  <c r="AKC1" i="24"/>
  <c r="AKD1" i="24"/>
  <c r="AKE1" i="24"/>
  <c r="AKF1" i="24"/>
  <c r="AKG1" i="24"/>
  <c r="AKH1" i="24"/>
  <c r="AKI1" i="24"/>
  <c r="AKJ1" i="24"/>
  <c r="AKK1" i="24"/>
  <c r="AKL1" i="24"/>
  <c r="AKM1" i="24"/>
  <c r="AKN1" i="24"/>
  <c r="AKO1" i="24"/>
  <c r="AKP1" i="24"/>
  <c r="AKQ1" i="24"/>
  <c r="AKR1" i="24"/>
  <c r="AKS1" i="24"/>
  <c r="AKT1" i="24"/>
  <c r="AKU1" i="24"/>
  <c r="AKV1" i="24"/>
  <c r="AKW1" i="24"/>
  <c r="AKX1" i="24"/>
  <c r="AKY1" i="24"/>
  <c r="AKZ1" i="24"/>
  <c r="ALA1" i="24"/>
  <c r="ALB1" i="24"/>
  <c r="ALC1" i="24"/>
  <c r="ALD1" i="24"/>
  <c r="ALE1" i="24"/>
  <c r="ALF1" i="24"/>
  <c r="ALG1" i="24"/>
  <c r="ALH1" i="24"/>
  <c r="ALI1" i="24"/>
  <c r="ALJ1" i="24"/>
  <c r="ALK1" i="24"/>
  <c r="ALL1" i="24"/>
  <c r="ALM1" i="24"/>
  <c r="ALN1" i="24"/>
  <c r="ALO1" i="24"/>
  <c r="ALP1" i="24"/>
  <c r="ALQ1" i="24"/>
  <c r="ALR1" i="24"/>
  <c r="ALS1" i="24"/>
  <c r="ALT1" i="24"/>
  <c r="ALU1" i="24"/>
  <c r="ALV1" i="24"/>
  <c r="ALW1" i="24"/>
  <c r="ALX1" i="24"/>
  <c r="ALY1" i="24"/>
  <c r="ALZ1" i="24"/>
  <c r="AMA1" i="24"/>
  <c r="AMB1" i="24"/>
  <c r="AMC1" i="24"/>
  <c r="AMD1" i="24"/>
  <c r="AME1" i="24"/>
  <c r="AMF1" i="24"/>
  <c r="AMG1" i="24"/>
  <c r="AMH1" i="24"/>
  <c r="AMI1" i="24"/>
  <c r="AMJ1" i="24"/>
  <c r="J1" i="19"/>
  <c r="K1" i="19"/>
  <c r="L1" i="19"/>
  <c r="M1" i="19"/>
  <c r="N1" i="19"/>
  <c r="O1" i="19"/>
  <c r="P1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BA1" i="19"/>
  <c r="BB1" i="19"/>
  <c r="BC1" i="19"/>
  <c r="BD1" i="19"/>
  <c r="BE1" i="19"/>
  <c r="BF1" i="19"/>
  <c r="BG1" i="19"/>
  <c r="BH1" i="19"/>
  <c r="BI1" i="19"/>
  <c r="BJ1" i="19"/>
  <c r="BK1" i="19"/>
  <c r="BL1" i="19"/>
  <c r="BM1" i="19"/>
  <c r="BN1" i="19"/>
  <c r="BO1" i="19"/>
  <c r="BP1" i="19"/>
  <c r="BQ1" i="19"/>
  <c r="BR1" i="19"/>
  <c r="BS1" i="19"/>
  <c r="BT1" i="19"/>
  <c r="BU1" i="19"/>
  <c r="BV1" i="19"/>
  <c r="BW1" i="19"/>
  <c r="BX1" i="19"/>
  <c r="BY1" i="19"/>
  <c r="BZ1" i="19"/>
  <c r="CA1" i="19"/>
  <c r="CB1" i="19"/>
  <c r="CC1" i="19"/>
  <c r="CD1" i="19"/>
  <c r="CE1" i="19"/>
  <c r="CF1" i="19"/>
  <c r="CG1" i="19"/>
  <c r="CH1" i="19"/>
  <c r="CI1" i="19"/>
  <c r="CJ1" i="19"/>
  <c r="CK1" i="19"/>
  <c r="CL1" i="19"/>
  <c r="CM1" i="19"/>
  <c r="CN1" i="19"/>
  <c r="CO1" i="19"/>
  <c r="CP1" i="19"/>
  <c r="CQ1" i="19"/>
  <c r="CR1" i="19"/>
  <c r="CS1" i="19"/>
  <c r="CT1" i="19"/>
  <c r="CU1" i="19"/>
  <c r="CV1" i="19"/>
  <c r="CW1" i="19"/>
  <c r="CX1" i="19"/>
  <c r="CY1" i="19"/>
  <c r="CZ1" i="19"/>
  <c r="DA1" i="19"/>
  <c r="DB1" i="19"/>
  <c r="DC1" i="19"/>
  <c r="DD1" i="19"/>
  <c r="DE1" i="19"/>
  <c r="DF1" i="19"/>
  <c r="DG1" i="19"/>
  <c r="DH1" i="19"/>
  <c r="DI1" i="19"/>
  <c r="DJ1" i="19"/>
  <c r="DK1" i="19"/>
  <c r="DL1" i="19"/>
  <c r="DM1" i="19"/>
  <c r="DN1" i="19"/>
  <c r="DO1" i="19"/>
  <c r="DP1" i="19"/>
  <c r="DQ1" i="19"/>
  <c r="DR1" i="19"/>
  <c r="DS1" i="19"/>
  <c r="DT1" i="19"/>
  <c r="DU1" i="19"/>
  <c r="DV1" i="19"/>
  <c r="DW1" i="19"/>
  <c r="DX1" i="19"/>
  <c r="DY1" i="19"/>
  <c r="DZ1" i="19"/>
  <c r="EA1" i="19"/>
  <c r="EB1" i="19"/>
  <c r="EC1" i="19"/>
  <c r="ED1" i="19"/>
  <c r="EE1" i="19"/>
  <c r="EF1" i="19"/>
  <c r="EG1" i="19"/>
  <c r="EH1" i="19"/>
  <c r="EI1" i="19"/>
  <c r="EJ1" i="19"/>
  <c r="EK1" i="19"/>
  <c r="EL1" i="19"/>
  <c r="EM1" i="19"/>
  <c r="EN1" i="19"/>
  <c r="EO1" i="19"/>
  <c r="EP1" i="19"/>
  <c r="EQ1" i="19"/>
  <c r="ER1" i="19"/>
  <c r="ES1" i="19"/>
  <c r="ET1" i="19"/>
  <c r="EU1" i="19"/>
  <c r="EV1" i="19"/>
  <c r="EW1" i="19"/>
  <c r="EX1" i="19"/>
  <c r="EY1" i="19"/>
  <c r="EZ1" i="19"/>
  <c r="FA1" i="19"/>
  <c r="FB1" i="19"/>
  <c r="FC1" i="19"/>
  <c r="FD1" i="19"/>
  <c r="FE1" i="19"/>
  <c r="FF1" i="19"/>
  <c r="FG1" i="19"/>
  <c r="FH1" i="19"/>
  <c r="FI1" i="19"/>
  <c r="FJ1" i="19"/>
  <c r="FK1" i="19"/>
  <c r="FL1" i="19"/>
  <c r="FM1" i="19"/>
  <c r="FN1" i="19"/>
  <c r="FO1" i="19"/>
  <c r="FP1" i="19"/>
  <c r="FQ1" i="19"/>
  <c r="FR1" i="19"/>
  <c r="FS1" i="19"/>
  <c r="FT1" i="19"/>
  <c r="FU1" i="19"/>
  <c r="FV1" i="19"/>
  <c r="FW1" i="19"/>
  <c r="FX1" i="19"/>
  <c r="FY1" i="19"/>
  <c r="FZ1" i="19"/>
  <c r="GA1" i="19"/>
  <c r="GB1" i="19"/>
  <c r="GC1" i="19"/>
  <c r="GD1" i="19"/>
  <c r="GE1" i="19"/>
  <c r="GF1" i="19"/>
  <c r="GG1" i="19"/>
  <c r="GH1" i="19"/>
  <c r="GI1" i="19"/>
  <c r="GJ1" i="19"/>
  <c r="GK1" i="19"/>
  <c r="GL1" i="19"/>
  <c r="GM1" i="19"/>
  <c r="GN1" i="19"/>
  <c r="GO1" i="19"/>
  <c r="GP1" i="19"/>
  <c r="GQ1" i="19"/>
  <c r="GR1" i="19"/>
  <c r="I1" i="19"/>
  <c r="H1" i="19"/>
  <c r="G1" i="19"/>
  <c r="F1" i="19"/>
  <c r="E1" i="19"/>
  <c r="D1" i="19"/>
  <c r="C1" i="19"/>
  <c r="I1" i="24"/>
  <c r="H1" i="24"/>
  <c r="G1" i="24"/>
  <c r="F1" i="24"/>
  <c r="E1" i="24"/>
  <c r="D1" i="24"/>
  <c r="C1" i="24"/>
</calcChain>
</file>

<file path=xl/sharedStrings.xml><?xml version="1.0" encoding="utf-8"?>
<sst xmlns="http://schemas.openxmlformats.org/spreadsheetml/2006/main" count="1586" uniqueCount="593">
  <si>
    <t>Group</t>
  </si>
  <si>
    <t>Items</t>
  </si>
  <si>
    <t>GIS Type</t>
  </si>
  <si>
    <t>Road</t>
  </si>
  <si>
    <t>Central Reserve</t>
  </si>
  <si>
    <t>linear</t>
  </si>
  <si>
    <t>Select the cell in column B at the top of the range you wish to auto populate and then select button to auto populate all asset tabs into list</t>
  </si>
  <si>
    <t>Depot</t>
  </si>
  <si>
    <t>point</t>
  </si>
  <si>
    <t>Verge</t>
  </si>
  <si>
    <t>Crossover</t>
  </si>
  <si>
    <t>Fences</t>
  </si>
  <si>
    <t>Carriageway Gates</t>
  </si>
  <si>
    <t>Fence Gates</t>
  </si>
  <si>
    <t>Snow Gates</t>
  </si>
  <si>
    <t>Stile</t>
  </si>
  <si>
    <t>ExampleAssetFence</t>
  </si>
  <si>
    <t>Drainage</t>
  </si>
  <si>
    <t>Manhole</t>
  </si>
  <si>
    <t>Inlet</t>
  </si>
  <si>
    <t>Headwall</t>
  </si>
  <si>
    <t>Culvert</t>
  </si>
  <si>
    <t>ExampleAssetDrainage</t>
  </si>
  <si>
    <t>#Filter</t>
  </si>
  <si>
    <t>True/False</t>
  </si>
  <si>
    <t>${ALIGNMENT_NAME}</t>
  </si>
  <si>
    <t>#Property</t>
  </si>
  <si>
    <t>Date/Time</t>
  </si>
  <si>
    <t>${END_ELEVATION}</t>
  </si>
  <si>
    <t>Number</t>
  </si>
  <si>
    <t>${END_LATITUDE}</t>
  </si>
  <si>
    <t>Integer</t>
  </si>
  <si>
    <t>${END_LONGITUDE}</t>
  </si>
  <si>
    <t>Text</t>
  </si>
  <si>
    <t>${END_OFFSET}</t>
  </si>
  <si>
    <t>Point</t>
  </si>
  <si>
    <t>${END_OFFSET_ABS}</t>
  </si>
  <si>
    <t>${END_OFFSET_SIDE}</t>
  </si>
  <si>
    <t>${END_STATION}</t>
  </si>
  <si>
    <t>${START_ELEVATION}</t>
  </si>
  <si>
    <t>${START_LATITUDE}</t>
  </si>
  <si>
    <t>${START_LONGITUDE}</t>
  </si>
  <si>
    <t>${START_OFFSET}</t>
  </si>
  <si>
    <t>${START_OFFSET_ABS}</t>
  </si>
  <si>
    <t>${START_OFFSET_SIDE}</t>
  </si>
  <si>
    <t>${START_STATION}</t>
  </si>
  <si>
    <t>ANGLE_MINUTE</t>
  </si>
  <si>
    <t>' [minutes]</t>
  </si>
  <si>
    <t>ANGLE_SECOND</t>
  </si>
  <si>
    <t>'' [seconds]</t>
  </si>
  <si>
    <t>DOLLAR</t>
  </si>
  <si>
    <t>$ [dollar]</t>
  </si>
  <si>
    <t>PERCENT_SLOPE</t>
  </si>
  <si>
    <t>% [percent slope]</t>
  </si>
  <si>
    <t>PERCENT_PERCENT</t>
  </si>
  <si>
    <t>% [percent]</t>
  </si>
  <si>
    <t>DEGREE</t>
  </si>
  <si>
    <t>° [degrees]</t>
  </si>
  <si>
    <t>DEGREE_CELSIUS</t>
  </si>
  <si>
    <t>°C [Celsius]</t>
  </si>
  <si>
    <t>DEGREE_FAHRENHEIT</t>
  </si>
  <si>
    <t>°F [Fahrenheit]</t>
  </si>
  <si>
    <t>AMPERE</t>
  </si>
  <si>
    <t>A [ampere]</t>
  </si>
  <si>
    <t>ACRE_FOOT</t>
  </si>
  <si>
    <t>acre·ft [acre feet]</t>
  </si>
  <si>
    <t>ACRE_FOOT_PER_DAY</t>
  </si>
  <si>
    <t>acre·ft/day [acre foot per day]</t>
  </si>
  <si>
    <t>ACRE_FOOT_PER_HOUR</t>
  </si>
  <si>
    <t>acre·ft/h [acre foot per hour]</t>
  </si>
  <si>
    <t>ACRE_FOOT_PER_MINUTE</t>
  </si>
  <si>
    <t>acre·ft/min [acre foot per minute]</t>
  </si>
  <si>
    <t>ACRE_INCH_PER_HOUR</t>
  </si>
  <si>
    <t>acre·in/h [acre inch per hour]</t>
  </si>
  <si>
    <t>ACRE_INCH_PER_MINUTE</t>
  </si>
  <si>
    <t>acre·in/min [acre inch per minute]</t>
  </si>
  <si>
    <t>ACRE</t>
  </si>
  <si>
    <t>acres</t>
  </si>
  <si>
    <t>CENTIMETRE</t>
  </si>
  <si>
    <t>cm [centimeters]</t>
  </si>
  <si>
    <t>CENTIMETRE_CUBED</t>
  </si>
  <si>
    <t>cm³ [centimeters cubed]</t>
  </si>
  <si>
    <t>CYCLE_PER_HOUR</t>
  </si>
  <si>
    <t>cycle/hr [cycle per hour]</t>
  </si>
  <si>
    <t>CYCLE_PER_MINUTE</t>
  </si>
  <si>
    <t>cycle/min [cycle per minute]</t>
  </si>
  <si>
    <t>CYCLE_PER_SECOND</t>
  </si>
  <si>
    <t>cycle/sec [cycle per second]</t>
  </si>
  <si>
    <t>DAY</t>
  </si>
  <si>
    <t>days</t>
  </si>
  <si>
    <t>DEGREE_PER_HOUR</t>
  </si>
  <si>
    <t>deg/hr [degree per hour]</t>
  </si>
  <si>
    <t>DEGREE_PER_MINUTE</t>
  </si>
  <si>
    <t>deg/min [degree per minute]</t>
  </si>
  <si>
    <t>DEGREE_PER_SECOND</t>
  </si>
  <si>
    <t>deg/sec [degree per second]</t>
  </si>
  <si>
    <t>DECIMETRE</t>
  </si>
  <si>
    <t>dm [decimeters]</t>
  </si>
  <si>
    <t>EACH</t>
  </si>
  <si>
    <t>ea [Each]</t>
  </si>
  <si>
    <t>US_SURVEY_FOOT</t>
  </si>
  <si>
    <t>ft (US Survey) [foot (US Survey)]</t>
  </si>
  <si>
    <t>FOOT</t>
  </si>
  <si>
    <t>ft [feet]</t>
  </si>
  <si>
    <t>FOOT_PER_DAY</t>
  </si>
  <si>
    <t>ft/day</t>
  </si>
  <si>
    <t>FOOT_PER_HOUR</t>
  </si>
  <si>
    <t>ft/h [feet per hour]</t>
  </si>
  <si>
    <t>FOOT_SQUARED</t>
  </si>
  <si>
    <t>ft² [feet squared]</t>
  </si>
  <si>
    <t>FOOT_CUBED</t>
  </si>
  <si>
    <t>ft³ [feet cubed]</t>
  </si>
  <si>
    <t>FOOT_CUBED_PER_DAY</t>
  </si>
  <si>
    <t>ft³/day [foot cubed per day]</t>
  </si>
  <si>
    <t>FOOT_CUBED_PER_MINUTE</t>
  </si>
  <si>
    <t>ft³/min [Foot cubed per minute]</t>
  </si>
  <si>
    <t>FOOT_CUBED_PER_SECOND</t>
  </si>
  <si>
    <t>ft³/s [foot cubed per second]</t>
  </si>
  <si>
    <t>GALLON_IMPERIAL</t>
  </si>
  <si>
    <t>gal (imp) [imperial gallons]</t>
  </si>
  <si>
    <t>GALLON_IMPERIAL_PER_DAY</t>
  </si>
  <si>
    <t>gal (imp)/day [gallon imperial per day]</t>
  </si>
  <si>
    <t>GALLON_IMPERIAL_PER_MINUTE</t>
  </si>
  <si>
    <t>gal (imp)/min [gallon imperial per minute]</t>
  </si>
  <si>
    <t>GALLON_IMPERIAL_PER_SECOND</t>
  </si>
  <si>
    <t>gal (imp)/s [gallon imperial per second]</t>
  </si>
  <si>
    <t>GALLON</t>
  </si>
  <si>
    <t>gal [gallons]</t>
  </si>
  <si>
    <t>GALLON_PER_DAY</t>
  </si>
  <si>
    <t>gal/day [gallon per day]</t>
  </si>
  <si>
    <t>GALLON_PER_MINUTE</t>
  </si>
  <si>
    <t>gal/min [gallon per minute]</t>
  </si>
  <si>
    <t>GALLON_PER_SECOND</t>
  </si>
  <si>
    <t>gal/s [gallon per second]</t>
  </si>
  <si>
    <t>HOUR</t>
  </si>
  <si>
    <t>h [hours]</t>
  </si>
  <si>
    <t>HECTARE</t>
  </si>
  <si>
    <t>ha [hectares]</t>
  </si>
  <si>
    <t>HORSEPOWER</t>
  </si>
  <si>
    <t>hp [horsepower]</t>
  </si>
  <si>
    <t>US_SURVEY_INCH</t>
  </si>
  <si>
    <t>in (US Survey) [inch (US Survey)]</t>
  </si>
  <si>
    <t>INCH</t>
  </si>
  <si>
    <t>in [inches]</t>
  </si>
  <si>
    <t>INCH_SQUARED</t>
  </si>
  <si>
    <t>in² [inches squared]</t>
  </si>
  <si>
    <t>INCH_CUBED</t>
  </si>
  <si>
    <t>in³ [inches cubed]</t>
  </si>
  <si>
    <t>KILOGRAM</t>
  </si>
  <si>
    <t>kg [kilograms]</t>
  </si>
  <si>
    <t>KILOGRAM_PER_CENTIMETRE_CUBED</t>
  </si>
  <si>
    <t>kg/cm³ [kilogram per centimeter cubed]</t>
  </si>
  <si>
    <t>KILOGRAM_PER_DAY</t>
  </si>
  <si>
    <t>kg/day [kilogram per day]</t>
  </si>
  <si>
    <t>KILOGRAM_PER_HOUR</t>
  </si>
  <si>
    <t>kg/h [kilogram per hour]</t>
  </si>
  <si>
    <t>KILOGRAM_PER_HECTARE</t>
  </si>
  <si>
    <t>kg/ha [kilogram per hectare]</t>
  </si>
  <si>
    <t>KILOGRAM_PER_LITRE</t>
  </si>
  <si>
    <t>kg/L [kilograms per liter]</t>
  </si>
  <si>
    <t>KILOGRAM_PER_METRE_SQUARED</t>
  </si>
  <si>
    <t>kg/m² [kilogram per meter squared]</t>
  </si>
  <si>
    <t>KILOGRAM_PER_METRE_CUBED</t>
  </si>
  <si>
    <t>kg/m³ [kilograms per meter cubed]</t>
  </si>
  <si>
    <t>KILOMETRE</t>
  </si>
  <si>
    <t>km [kilometers]</t>
  </si>
  <si>
    <t>KILOMETRE_PER_HOUR</t>
  </si>
  <si>
    <t>km/h [kilometers per hour]</t>
  </si>
  <si>
    <t>KILOMETRE_SQUARED</t>
  </si>
  <si>
    <t>km² [kilometers squared]</t>
  </si>
  <si>
    <t>KILOVOLT</t>
  </si>
  <si>
    <t>KV [kilovolt]</t>
  </si>
  <si>
    <t>KILOWATT</t>
  </si>
  <si>
    <t>kW [kilowatt]</t>
  </si>
  <si>
    <t>KILOWATT_HOUR</t>
  </si>
  <si>
    <t>kW·h [kilowatt hour]</t>
  </si>
  <si>
    <t>LITRE</t>
  </si>
  <si>
    <t>L [liters]</t>
  </si>
  <si>
    <t>LITRE_PER_SECOND_PER_PERSON</t>
  </si>
  <si>
    <t>L/(s·person) [liter per second per person]</t>
  </si>
  <si>
    <t>LITRE_PER_DAY</t>
  </si>
  <si>
    <t>L/day [liter per day]</t>
  </si>
  <si>
    <t>LITRE_PER_HOUR</t>
  </si>
  <si>
    <t>L/h</t>
  </si>
  <si>
    <t>LITRE_PER_MINUTE</t>
  </si>
  <si>
    <t>L/min [liter per minute]</t>
  </si>
  <si>
    <t>LITRE_PER_SECOND</t>
  </si>
  <si>
    <t>L/s [liter per second]</t>
  </si>
  <si>
    <t>POUND</t>
  </si>
  <si>
    <t>lb [pounds]</t>
  </si>
  <si>
    <t>POUND_PER_ACRE</t>
  </si>
  <si>
    <t>lb/acre [pound per acre]</t>
  </si>
  <si>
    <t>POUND_PER_DAY</t>
  </si>
  <si>
    <t>lb/day [pound per day]</t>
  </si>
  <si>
    <t>POUND_MASS_PER_FOOT_SQUARED</t>
  </si>
  <si>
    <t>lb/ft² [pound mass per foot squared]</t>
  </si>
  <si>
    <t>POUND_PER_FOOT_CUBED</t>
  </si>
  <si>
    <t>lb/ft³ [pounds per foot cubed]</t>
  </si>
  <si>
    <t>POUND_PER_IMPERIAL_GALLON</t>
  </si>
  <si>
    <t>lb/gal (imp) [pounds per imperial gallon]</t>
  </si>
  <si>
    <t>POUND_PER_GALLON</t>
  </si>
  <si>
    <t>lb/gal [pounds per gallon]</t>
  </si>
  <si>
    <t>POUND_PER_HOUR</t>
  </si>
  <si>
    <t>lb/h [pound per hour]</t>
  </si>
  <si>
    <t>POUND_PER_INCH_CUBED</t>
  </si>
  <si>
    <t>lb/in³ [pounds per inch cubed]</t>
  </si>
  <si>
    <t>POUND_FORCE_PER_FOOT_SQUARED</t>
  </si>
  <si>
    <t>lbf/ft² [pound force per foot squared]</t>
  </si>
  <si>
    <t>POUND_FORCE_PER_FOOT_CUBED</t>
  </si>
  <si>
    <t>lbf/ft³ [pound force per foot cubed]</t>
  </si>
  <si>
    <t>POUND_FORCE_PER_INCH_SQUARED</t>
  </si>
  <si>
    <t>lbf/in² [pound force per inch squared]</t>
  </si>
  <si>
    <t>POUND_FOOT</t>
  </si>
  <si>
    <t>lbf·ft [pound force foot]</t>
  </si>
  <si>
    <t>POUND_MASS_PER_INCH_SQUARED</t>
  </si>
  <si>
    <t>lbm/in² [pound mass per inch squared]</t>
  </si>
  <si>
    <t>METRE</t>
  </si>
  <si>
    <t>m [meters]</t>
  </si>
  <si>
    <t>METRE_PER_DAY</t>
  </si>
  <si>
    <t>m/day</t>
  </si>
  <si>
    <t>METRE_PER_HOUR</t>
  </si>
  <si>
    <t>m/h [meters per hour]</t>
  </si>
  <si>
    <t>METRE_SQUARED</t>
  </si>
  <si>
    <t>m² [meters squared]</t>
  </si>
  <si>
    <t>METRE_CUBED</t>
  </si>
  <si>
    <t>m³ [meters cubed]</t>
  </si>
  <si>
    <t>METRE_CUBED_PER_DAY</t>
  </si>
  <si>
    <t>m³/day [meter cubed per day]</t>
  </si>
  <si>
    <t>METRE_CUBED_PER_HOUR</t>
  </si>
  <si>
    <t>m³/h [meter cubed per hour]</t>
  </si>
  <si>
    <t>METRE_CUBED_PER_MINUTE</t>
  </si>
  <si>
    <t>m³/min [meter cubed per minute]</t>
  </si>
  <si>
    <t>METRE_CUBED_PER_SECOND</t>
  </si>
  <si>
    <t>m³/s [meter cubed per second]</t>
  </si>
  <si>
    <t>US_SURVEY_MILE</t>
  </si>
  <si>
    <t>mi (US Survey) [mile (US Survey)]</t>
  </si>
  <si>
    <t>MILE</t>
  </si>
  <si>
    <t>mi [miles]</t>
  </si>
  <si>
    <t>MILE_PER_HOUR</t>
  </si>
  <si>
    <t>mi/h [miles per hour]</t>
  </si>
  <si>
    <t>MILE_SQUARED</t>
  </si>
  <si>
    <t>mi² [miles squared]</t>
  </si>
  <si>
    <t>MINUTE</t>
  </si>
  <si>
    <t>min [minutes]</t>
  </si>
  <si>
    <t>MILLIMETRE</t>
  </si>
  <si>
    <t>mm [millimeters]</t>
  </si>
  <si>
    <t>MEGAWATT</t>
  </si>
  <si>
    <t>MW</t>
  </si>
  <si>
    <t>MEGAWATT_HOUR</t>
  </si>
  <si>
    <t>MWh</t>
  </si>
  <si>
    <t>NONE</t>
  </si>
  <si>
    <t>n/a [none]</t>
  </si>
  <si>
    <t>NEWTON_PER_METRE_SQUARED</t>
  </si>
  <si>
    <t>N/m² [newtons per meter squared]</t>
  </si>
  <si>
    <t>NEWTON_PER_MILLIMETRE_SQUARED</t>
  </si>
  <si>
    <t>N/mm² [newton per millimeter squared]</t>
  </si>
  <si>
    <t>NEWTON_METRE</t>
  </si>
  <si>
    <t>N·m [newton meter]</t>
  </si>
  <si>
    <t>ANGLE_QUADRANT</t>
  </si>
  <si>
    <t>quadrants</t>
  </si>
  <si>
    <t>RADIAN</t>
  </si>
  <si>
    <t>rad [radians]</t>
  </si>
  <si>
    <t>RADIAN_PER_HOUR</t>
  </si>
  <si>
    <t>rad/hr [radian per hour]</t>
  </si>
  <si>
    <t>RADIAN_PER_MINUTE</t>
  </si>
  <si>
    <t>rad/min [radian per minute]</t>
  </si>
  <si>
    <t>RADIAN_PER_SECOND</t>
  </si>
  <si>
    <t>rad/sec [radian per second]</t>
  </si>
  <si>
    <t>SECOND</t>
  </si>
  <si>
    <t>s [seconds]</t>
  </si>
  <si>
    <t>VERTICAL_PER_HORIZONTAL</t>
  </si>
  <si>
    <t>slope</t>
  </si>
  <si>
    <t>THOUSAND_GALLON</t>
  </si>
  <si>
    <t>thousand gal [thousand gallons]</t>
  </si>
  <si>
    <t>THOUSAND_LITRE</t>
  </si>
  <si>
    <t>thousand L [thousand liter]</t>
  </si>
  <si>
    <t>LONG_TON</t>
  </si>
  <si>
    <t>tn (long) [long ton]</t>
  </si>
  <si>
    <t>SHORT_TON</t>
  </si>
  <si>
    <t>tn (short) [short ton]</t>
  </si>
  <si>
    <t>SHORT_TON_PER_FOOT_CUBED</t>
  </si>
  <si>
    <t>tn (short)/ft³ [short tons per foot cubed]</t>
  </si>
  <si>
    <t>SHORT_TON_PER_HOUR</t>
  </si>
  <si>
    <t>tph [short ton per hour]</t>
  </si>
  <si>
    <t>TONNE_PER_HOUR</t>
  </si>
  <si>
    <t>tph [tonne per hour]</t>
  </si>
  <si>
    <t>VOLT</t>
  </si>
  <si>
    <t>V [volt]</t>
  </si>
  <si>
    <t>WATT</t>
  </si>
  <si>
    <t>W [watts]</t>
  </si>
  <si>
    <t>YARD</t>
  </si>
  <si>
    <t>yd [yards]</t>
  </si>
  <si>
    <t>YARD_SQUARED</t>
  </si>
  <si>
    <t>yd² [yards squared]</t>
  </si>
  <si>
    <t>YARD_CUBED</t>
  </si>
  <si>
    <t>yd³ [yards cubed]</t>
  </si>
  <si>
    <t>YEAR</t>
  </si>
  <si>
    <t>years</t>
  </si>
  <si>
    <t>Filter Group Name</t>
  </si>
  <si>
    <t>Option 1</t>
  </si>
  <si>
    <t>Pick List Name</t>
  </si>
  <si>
    <t>Graphical Filter</t>
  </si>
  <si>
    <t>#FILTER</t>
  </si>
  <si>
    <t>Level</t>
  </si>
  <si>
    <t>Enter the level(s) to search for (e.g. EdgeOfPavement or EdgeOfPavement;Fence;Pipe)  Use single entry of level name or concatenated list using semi-colons.</t>
  </si>
  <si>
    <t>Color</t>
  </si>
  <si>
    <t>Enter the color(s) to search for (e.g. 1 or 1;34;ByLevel)  Use single entry of color number or concatenated list using semi-colons. Use word ByLevel if needed</t>
  </si>
  <si>
    <t>LineStyle</t>
  </si>
  <si>
    <t>Enter the linestyles(s) to search for (e.g. 1 or 1;Dashed;ByLevel)  Use single entry of linestyle number/name or concatenated list using semi-colons. Use word ByLevel if needed</t>
  </si>
  <si>
    <t>Weight</t>
  </si>
  <si>
    <t>Enter the weight(s) to search for (e.g. 1 or 1;2;ByLevel)  Use single entry of weight number or concatenated list using semi-colons. Use word ByLevel if needed</t>
  </si>
  <si>
    <t>Element Type</t>
  </si>
  <si>
    <t>Enter the element type(s) to search for (e.g. Linestring or Line;LineString;Complex Chain)  Use single entry of element type  or concatenated list using semi-colons.</t>
  </si>
  <si>
    <t>Cell Name</t>
  </si>
  <si>
    <t>Enter the cell name(s) to search for (e.g. PPOLE or PPOLE;WV;MH)  Use single entry of cell name  or concatenated list using semi-colons.</t>
  </si>
  <si>
    <t>Transparency</t>
  </si>
  <si>
    <t>Enter the transparency(s) to search for (e.g. 20 or 20;35,90-100)  Use single entry for transparency or concatenated list using semi-colons. Max value is 100.  Min value is 0.  Range is represented by low to high (e.g. 30-70)</t>
  </si>
  <si>
    <t>Material</t>
  </si>
  <si>
    <t>Enter the material(s) to search for (e.g. concrete or concrete;brick;stone)  Use single entry for material or concatenated list using semi-colons.</t>
  </si>
  <si>
    <t>Feature Definition</t>
  </si>
  <si>
    <t>Enter the Feature Definition(s) to search for (e.g. EdgeOfPavement or EdgeOfPavement;EdgeOfAsphalt;EdgeOfOil)  Use single entry for material or concatenated list using semi-colons.</t>
  </si>
  <si>
    <t>NOTE:</t>
  </si>
  <si>
    <t xml:space="preserve">AT LEAST ONE ITEM FOR SEARCHING MUST BE DEFINED. </t>
  </si>
  <si>
    <t>Attributes</t>
  </si>
  <si>
    <t>Name</t>
  </si>
  <si>
    <t>IsUnique</t>
  </si>
  <si>
    <t>SeedCode</t>
  </si>
  <si>
    <t>Type</t>
  </si>
  <si>
    <t>Values</t>
  </si>
  <si>
    <t>Default Values</t>
  </si>
  <si>
    <t>Comments</t>
  </si>
  <si>
    <t>Location &amp; Physical Properties (values populated at run time)</t>
  </si>
  <si>
    <t>#ATTR</t>
  </si>
  <si>
    <t>Start Chainage</t>
  </si>
  <si>
    <t>STRING</t>
  </si>
  <si>
    <t>{ORD_Start_Station}</t>
  </si>
  <si>
    <t>ORD Calculated start station of the object relative to the selected baseline</t>
  </si>
  <si>
    <t>End Chainage</t>
  </si>
  <si>
    <t>{ORD_End_Station}</t>
  </si>
  <si>
    <t>Road Link</t>
  </si>
  <si>
    <t>(ORD_Asset_Baseline}</t>
  </si>
  <si>
    <t>ORD Active reference baseline selected at runtime</t>
  </si>
  <si>
    <t>SUE= SUE/SUDA</t>
  </si>
  <si>
    <t>Start Easting (X) As Drawn</t>
  </si>
  <si>
    <t>NUMBER</t>
  </si>
  <si>
    <t>{MS_Start_Easting}</t>
  </si>
  <si>
    <t>MS Start Easting of object (X value)</t>
  </si>
  <si>
    <t>MS = MicroStation</t>
  </si>
  <si>
    <t>Start Northing (Y) As Drawn</t>
  </si>
  <si>
    <t>{MS_Start_Northing}</t>
  </si>
  <si>
    <t>MS Start Northing of object (Y value)</t>
  </si>
  <si>
    <t>ORD = OpenRoads</t>
  </si>
  <si>
    <t>Start Elevation (Z) As Drawn</t>
  </si>
  <si>
    <t>{MS_Start_Elevation}</t>
  </si>
  <si>
    <t>MS Start Elevation of object (Z value)</t>
  </si>
  <si>
    <t>End Easting (X) As Drawn</t>
  </si>
  <si>
    <t>{MS_End_Easting}</t>
  </si>
  <si>
    <t>MS End Easting of object (X value)</t>
  </si>
  <si>
    <t>NOTE:  Column A can either have "#FILTER" or "#ATTR".  Filter rows should not be added, deleted or order changed.  Only lines with "#ATTR" will be read for assigning attributes.</t>
  </si>
  <si>
    <t>End Northing (Y) As Drawn</t>
  </si>
  <si>
    <t>{MS_End_Northing}</t>
  </si>
  <si>
    <t>MS End Northing of object (Y value)</t>
  </si>
  <si>
    <t>End Elevation (Z) As Drawn</t>
  </si>
  <si>
    <t>{MS_End_Elevation}</t>
  </si>
  <si>
    <t>MS End Elevation of object (Z value)</t>
  </si>
  <si>
    <t>Start Easting (X) By Reference</t>
  </si>
  <si>
    <t>{ORD_Start_Easting}</t>
  </si>
  <si>
    <t>ORD Start Easting of object (X value)</t>
  </si>
  <si>
    <t>Start Northing (Y) By Reference</t>
  </si>
  <si>
    <t>{ORD_Start_Northing}</t>
  </si>
  <si>
    <t>ORD Start Northing of object (Y value)</t>
  </si>
  <si>
    <t>Start Elevation (Z) By Reference</t>
  </si>
  <si>
    <t>{ORD_Start_Elevation}</t>
  </si>
  <si>
    <t>ORD Start Elevation of object (Z value)</t>
  </si>
  <si>
    <t>End Easting (X) By Reference</t>
  </si>
  <si>
    <t>{ORD_End_Easting}</t>
  </si>
  <si>
    <t>ORD End Easting of object (X value)</t>
  </si>
  <si>
    <t>End Northing (Y) By Reference</t>
  </si>
  <si>
    <t>{ORD_End_Northing}</t>
  </si>
  <si>
    <t>ORD End Northing of object (Y value)</t>
  </si>
  <si>
    <t>End Elevation (Z) By Reference</t>
  </si>
  <si>
    <t>{ORD_End_Elevation}</t>
  </si>
  <si>
    <t>ORD End Elevation of object (Z value)</t>
  </si>
  <si>
    <t>Begin Offset</t>
  </si>
  <si>
    <t>{ORD_Begin_Offset}</t>
  </si>
  <si>
    <t>Beginning Offset</t>
  </si>
  <si>
    <t>NOTE:  The worksheet tab name denotes the name of the item type.</t>
  </si>
  <si>
    <t>End Offset</t>
  </si>
  <si>
    <t>{ORD_End_Offset}</t>
  </si>
  <si>
    <t>Ending Offset</t>
  </si>
  <si>
    <t>Begin Side</t>
  </si>
  <si>
    <t>{ORD_Begin_Side}</t>
  </si>
  <si>
    <t>Denoted with "Left" or "Right"</t>
  </si>
  <si>
    <t>End Side</t>
  </si>
  <si>
    <t>{ORD_End_Side}</t>
  </si>
  <si>
    <t>Length</t>
  </si>
  <si>
    <t>{MS_Length_2D}</t>
  </si>
  <si>
    <t>2D calced Length in a 3D file, If 2D file Same as Slope Length</t>
  </si>
  <si>
    <t>Slope Length</t>
  </si>
  <si>
    <t>{MS_Length_3D}</t>
  </si>
  <si>
    <t>3D Length</t>
  </si>
  <si>
    <t>Perimeter</t>
  </si>
  <si>
    <t>{MS_Perimeter_2D}</t>
  </si>
  <si>
    <t>Slope Perimeter</t>
  </si>
  <si>
    <t>{MS_Perimeter_3D}</t>
  </si>
  <si>
    <t>3D Length of Perimeter</t>
  </si>
  <si>
    <t>Area</t>
  </si>
  <si>
    <t>{MS_Area_2D}</t>
  </si>
  <si>
    <t>2D calced Area in a 3D file, If 2D file Same as Slope Area</t>
  </si>
  <si>
    <t>Slope Area</t>
  </si>
  <si>
    <t>{MS_Area_3D}</t>
  </si>
  <si>
    <t>3D Area</t>
  </si>
  <si>
    <t>NOTE:  Type must be set to one of the following: DATE: Denotes date format.  LIST:  Creates list from concatenated values in column F.  STRING:  Value can be numerial, alpa characters or combination of both.  NUMBER: Can only be a number value.</t>
  </si>
  <si>
    <t>Surface Area</t>
  </si>
  <si>
    <t>{ORD_Component_Area_2D}</t>
  </si>
  <si>
    <t>2D Surface area of component mesh</t>
  </si>
  <si>
    <t>Slope Surface Area</t>
  </si>
  <si>
    <t>{ORD_Component_Area_3D}</t>
  </si>
  <si>
    <t>3D Surface area of component mesh</t>
  </si>
  <si>
    <t>Volume</t>
  </si>
  <si>
    <t>{MS_Volume}</t>
  </si>
  <si>
    <t>Volume of Object</t>
  </si>
  <si>
    <t>{MS_Material}</t>
  </si>
  <si>
    <t>Material  assigned of object</t>
  </si>
  <si>
    <t>Conduit Begin Node</t>
  </si>
  <si>
    <t>{SUE_Conduit_Start_Node}</t>
  </si>
  <si>
    <t>Utility conduit starting node</t>
  </si>
  <si>
    <t>Conduit End Node</t>
  </si>
  <si>
    <t>{SUE_Conduit_Stop_Node}</t>
  </si>
  <si>
    <t>Utility conduit ending node</t>
  </si>
  <si>
    <t>Conduit Begin Invert Elevation</t>
  </si>
  <si>
    <t>{SUE_Conduit_Start_Invert}</t>
  </si>
  <si>
    <t>Utility conduit starting invert</t>
  </si>
  <si>
    <t>Conduit End Invert Elevation</t>
  </si>
  <si>
    <t>{SUE_Conduit_Stop_Invert}</t>
  </si>
  <si>
    <t>Utility conduit ending invert</t>
  </si>
  <si>
    <t>Conduit Size</t>
  </si>
  <si>
    <t>(SUE_Conduit_Feature_Description}</t>
  </si>
  <si>
    <t>Utility conduit diameter from Feature Description</t>
  </si>
  <si>
    <t>Conduit Shape</t>
  </si>
  <si>
    <t>(SUE_Conduit_Shape}</t>
  </si>
  <si>
    <t>Utility conduit shape</t>
  </si>
  <si>
    <t>Node Ground Elevation</t>
  </si>
  <si>
    <t>{SUE_Node_Ground_Elevation}</t>
  </si>
  <si>
    <t>Utility node top/ground elevation</t>
  </si>
  <si>
    <t>Node Invert Elevation</t>
  </si>
  <si>
    <t>{SUE_Node_Invert_Elevation}</t>
  </si>
  <si>
    <t>Utility bottom inside/invert elevation</t>
  </si>
  <si>
    <t>Sheet Name</t>
  </si>
  <si>
    <t>{ORD_Sheet_Name}</t>
  </si>
  <si>
    <t>Named Boundary Name</t>
  </si>
  <si>
    <t>Feature Name</t>
  </si>
  <si>
    <t>{ORD_Feature_Name}</t>
  </si>
  <si>
    <t>ORD Feature Property</t>
  </si>
  <si>
    <t>{ORD_Featurre_Definition}</t>
  </si>
  <si>
    <t>Feature Description</t>
  </si>
  <si>
    <t>{ORD_Feature_Description}</t>
  </si>
  <si>
    <t>User defined examples</t>
  </si>
  <si>
    <t>LIST</t>
  </si>
  <si>
    <t>Asset ID</t>
  </si>
  <si>
    <t>Yes</t>
  </si>
  <si>
    <t>CRGW-#00</t>
  </si>
  <si>
    <t>See NOTE D:</t>
  </si>
  <si>
    <t>NOTE D:  When Using Col C. and Col. D a unique value will be created for each object that matches the search criteria as defined above.  In this example the Asset ID will start at CRGW1 and increment  by +1 with each new occurance. The numeric portion defines the format the incremented value will hold, indicating the number of zero-prefixed digits. i.e. # would result in 1, #0 would result in 01, and #000 would result in 0001.</t>
  </si>
  <si>
    <t>Installation Date</t>
  </si>
  <si>
    <t>DATE</t>
  </si>
  <si>
    <t>Reason for Gates</t>
  </si>
  <si>
    <t>Cow;Goat;Pedistrian</t>
  </si>
  <si>
    <t>Cow</t>
  </si>
  <si>
    <t>Owner</t>
  </si>
  <si>
    <t>Eastern Rail Company</t>
  </si>
  <si>
    <t>Current Maintenance Contract</t>
  </si>
  <si>
    <t>Wreckum Ralph</t>
  </si>
  <si>
    <t>Currently Maintained By</t>
  </si>
  <si>
    <t>Joe's Crew</t>
  </si>
  <si>
    <t>Departure - DAS ID</t>
  </si>
  <si>
    <t>True;False</t>
  </si>
  <si>
    <t>Condition Rating (Manual)</t>
  </si>
  <si>
    <t>Good;Bad;Ugly</t>
  </si>
  <si>
    <t>Ugly</t>
  </si>
  <si>
    <t>Risk Rating</t>
  </si>
  <si>
    <t>0;25;50;75;100</t>
  </si>
  <si>
    <t>Additional Asset Information</t>
  </si>
  <si>
    <t>Start Date of Asset</t>
  </si>
  <si>
    <t>NOTE:  You can add as many Specific Examples as needed as long as they have a unique name in column B.</t>
  </si>
  <si>
    <t>Select</t>
  </si>
  <si>
    <t>NOTE:  Type must be set to on of the following: DATE: Denotes date format.  LIST:  Creates list from concatenated values in column F.  STRING:  Value can be numerial, alpa characters or combination of both.  NUMBER: Can only be a number value.</t>
  </si>
  <si>
    <t>{UID "CRGW#"}</t>
  </si>
  <si>
    <t>See Note D:</t>
  </si>
  <si>
    <t>NOTE D:  When Using Col C. and Col. D a unique value will be created for each object that matches the search criteria as defined above.  In this example the Asset ID will start at CRGW1 and increment by +1 with each new occurance.</t>
  </si>
  <si>
    <t>Note F: Lookup table definitions indicate the table name (worksheet name that must begin with _LU_) and the attribute that contains the key value used for the lookup.  The lookup table must be a worksheet in this spreadsheet.</t>
  </si>
  <si>
    <t>Conduit Wall Thickness</t>
  </si>
  <si>
    <t>{_LU_RCP_Wall_Thickness[Conduit Size]}</t>
  </si>
  <si>
    <t>See Note F</t>
  </si>
  <si>
    <t>Conduit Begin Top Elevation</t>
  </si>
  <si>
    <t>{[Conduit Begin Invert Elevation] + [Conduit Size] + [Conduit Wall Thickness]}</t>
  </si>
  <si>
    <t>See Note G</t>
  </si>
  <si>
    <t>NOTE G: Calculated expressions may contain numbers, operators, and attribute names to calculate a value based on other attributes. Attribute names must be enclosed in brackets ([]) and operators are currently limited to addition (+), subtraction (-), multiplication (*), and division (/).  Expressions may also include parenthesis for grouping.</t>
  </si>
  <si>
    <t>Graphical Filters</t>
  </si>
  <si>
    <t>Enter the levels to filter on using a ';' delimited list (e.g. "EdgeOfPavement" or "EdgeOfPavement;Fence;Pipe")</t>
  </si>
  <si>
    <t>Enter the colors to filter on using a ';' delimited list. Use word ByLevel if needed (e.g. "1" or "1;34;ByLevel")</t>
  </si>
  <si>
    <t>Line Style</t>
  </si>
  <si>
    <t>Enter the line styles to filter on using a ';' delimited list. Indicate line style by number/name. Use ByLevel if needed (e.g. "1" or "1;Dashed;ByLevel")</t>
  </si>
  <si>
    <t>Line Weight</t>
  </si>
  <si>
    <t>Enter the line weights to filter on using a ';' delimited list. Use word ByLevel if needed (e.g. "1" or "1;2;ByLevel")</t>
  </si>
  <si>
    <t>Enter the element types to filter on using a ';' delimited list (e.g. "Linestring" or "Line;LineString;Complex Chain")</t>
  </si>
  <si>
    <t>Enter the cell names to filter on using a ';' delimited list (e.g. "PPOLE" or "PPOLE;WV;MH")</t>
  </si>
  <si>
    <t>Enter the transparencies to filter on using a ';' delimited list. Values can be between 0 and 100. Ranges are specified by "low-high" (e.g. "20" or "20;35;90-100")</t>
  </si>
  <si>
    <t>Enter the materials to filter on using a ';' delimited list (e.g. "concrete" or "concrete;brick;stone")</t>
  </si>
  <si>
    <t>Enter the feature definitions to filter on using a ';' delimited list (e.g. "EdgeOfPavement" or "EdgeOfPavement;EdgeOfAsphalt;EdgeOfOil")</t>
  </si>
  <si>
    <t>Custom Properties</t>
  </si>
  <si>
    <t>Pick List</t>
  </si>
  <si>
    <t>Default Value</t>
  </si>
  <si>
    <t>Calculation Expression</t>
  </si>
  <si>
    <t>Expression Failure Value</t>
  </si>
  <si>
    <t>Unit</t>
  </si>
  <si>
    <t>User Defined Attributes</t>
  </si>
  <si>
    <t>Note: You can add as many properties as needed as long as they have a unique name in column B.</t>
  </si>
  <si>
    <t>Mounting Type</t>
  </si>
  <si>
    <t>Sign Type</t>
  </si>
  <si>
    <t>Speed</t>
  </si>
  <si>
    <t>Stop</t>
  </si>
  <si>
    <t>Yield</t>
  </si>
  <si>
    <t>Height</t>
  </si>
  <si>
    <t>Width</t>
  </si>
  <si>
    <t>S-218</t>
  </si>
  <si>
    <t>White</t>
  </si>
  <si>
    <t>Latitude</t>
  </si>
  <si>
    <t>Longitude</t>
  </si>
  <si>
    <t>Alignment_Name</t>
  </si>
  <si>
    <t>Station</t>
  </si>
  <si>
    <t>Offset</t>
  </si>
  <si>
    <t>Side</t>
  </si>
  <si>
    <t>Start_Station</t>
  </si>
  <si>
    <t>End_Station</t>
  </si>
  <si>
    <t>Start_Offset</t>
  </si>
  <si>
    <t>Unit_Length</t>
  </si>
  <si>
    <t>Design_Length</t>
  </si>
  <si>
    <t>Number_of_Segments</t>
  </si>
  <si>
    <t>Construction_Length</t>
  </si>
  <si>
    <t>End_Offset</t>
  </si>
  <si>
    <t>this.Number_of_Segments * this.Unit_Length</t>
  </si>
  <si>
    <t>Offset_Value</t>
  </si>
  <si>
    <t>Sign_Type</t>
  </si>
  <si>
    <t>Mounting_Type</t>
  </si>
  <si>
    <t>Catalog_Number</t>
  </si>
  <si>
    <t>Background_Color</t>
  </si>
  <si>
    <t>Text_Color</t>
  </si>
  <si>
    <t>Panel_Unit_Price</t>
  </si>
  <si>
    <t>Panel_Cost</t>
  </si>
  <si>
    <t>system.Math.round(this.Design_Length / this.Unit_Length)</t>
  </si>
  <si>
    <t>Red</t>
  </si>
  <si>
    <t>Black</t>
  </si>
  <si>
    <t>S-106</t>
  </si>
  <si>
    <t>Sign Panel Basic</t>
  </si>
  <si>
    <t>Sign Location</t>
  </si>
  <si>
    <t>Sign (Stop)</t>
  </si>
  <si>
    <t>Sign (Speed)</t>
  </si>
  <si>
    <t>Guardrail</t>
  </si>
  <si>
    <t>1 Post</t>
  </si>
  <si>
    <t>2 Post</t>
  </si>
  <si>
    <t>3 Post</t>
  </si>
  <si>
    <t>Structure Mounted</t>
  </si>
  <si>
    <t>STOP</t>
  </si>
  <si>
    <t>Shape</t>
  </si>
  <si>
    <t>Sign Shape</t>
  </si>
  <si>
    <t>Rectangle</t>
  </si>
  <si>
    <t>Circle</t>
  </si>
  <si>
    <t>Octagon</t>
  </si>
  <si>
    <t>Diamond</t>
  </si>
  <si>
    <t>Inverted Triangle</t>
  </si>
  <si>
    <t>Mounting_Type_Unit_Price</t>
  </si>
  <si>
    <t>this.Panel_Unit_Price + this.Mounting_Type_Unit_Price</t>
  </si>
  <si>
    <t>Sign (Stop) Lookup</t>
  </si>
  <si>
    <t>Sign (Speed) Lookup</t>
  </si>
  <si>
    <t>Lookup.GetEntry("Sign_Type_Lookup","Sign_Type",this.Sign_Type).Text</t>
  </si>
  <si>
    <t>Lookup.GetEntry("Sign_Type_Lookup","Sign_Type",this.Sign_Type).Catalog_Number</t>
  </si>
  <si>
    <t>Lookup.GetEntry("Sign_Type_Lookup","Sign_Type",this.Sign_Type).Shape</t>
  </si>
  <si>
    <t>Lookup.GetEntry("Sign_Type_Lookup","Sign_Type",this.Sign_Type).Height</t>
  </si>
  <si>
    <t>Lookup.GetEntry("Sign_Type_Lookup","Sign_Type",this.Sign_Type).Width</t>
  </si>
  <si>
    <t>Lookup.GetEntry("Sign_Type_Lookup","Sign_Type",this.Sign_Type).Panel_Unit_Price</t>
  </si>
  <si>
    <t>Lookup.GetEntry("Mounting_Type_Lookup","Mounting_Type",this.Mounting_Type).Mounting_Type_Unit_Price</t>
  </si>
  <si>
    <t>Lookup.GetEntry("Sign_Type_Lookup","Sign_Type",this.Sign_Type).Background_Color</t>
  </si>
  <si>
    <t>Lookup.GetEntry("Sign_Type_Lookup","Sign_Type",this.Sign_Type).Text_Color</t>
  </si>
  <si>
    <t>Speed-45</t>
  </si>
  <si>
    <t>Speed-55</t>
  </si>
  <si>
    <t>Stop Sign</t>
  </si>
  <si>
    <t>Speed Sign</t>
  </si>
  <si>
    <t>45 MPH Speed - Plan</t>
  </si>
  <si>
    <t>Reference_Alignment_Name</t>
  </si>
  <si>
    <t>Export</t>
  </si>
  <si>
    <t>iif(this.Shape = "Rectangle", (this.Height/12) * (this.Width/12), iif(this.Shape = "Octagon", (system.math.POW (.5*this.Height/12,2)*8*system.math.SIN(360/8))/2,  iif(this.Shape = "Diamond", ((this.Height/12) * (this.Width/12))/2,  iif(this.Shape = "Circle", system.math.pi * system.math.POW (.5*this.Height/12,2), iif(this.Shape = "Inverted Triangle", ((this.Height/12) * (this.Width/12))/2, "Unknown Shape")))))</t>
  </si>
  <si>
    <t>this.GetElement().LinearElement_Length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</si>
</sst>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Fill="1" applyBorder="1" applyAlignment="1"/>
    <xf numFmtId="0" fontId="0" fillId="0" borderId="5" xfId="0" applyFill="1" applyBorder="1" applyAlignment="1"/>
    <xf numFmtId="0" fontId="1" fillId="0" borderId="6" xfId="0" applyFont="1" applyFill="1" applyBorder="1" applyAlignment="1"/>
    <xf numFmtId="0" fontId="0" fillId="0" borderId="0" xfId="0" applyNumberFormat="1" applyFill="1" applyAlignment="1" applyProtection="1"/>
    <xf numFmtId="0" fontId="0" fillId="3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49" fontId="0" fillId="0" borderId="0" xfId="0" applyNumberFormat="1" applyFill="1" applyAlignment="1" applyProtection="1"/>
    <xf numFmtId="49" fontId="1" fillId="0" borderId="0" xfId="0" applyNumberFormat="1" applyFont="1" applyFill="1" applyAlignment="1" applyProtection="1"/>
    <xf numFmtId="14" fontId="0" fillId="0" borderId="1" xfId="0" applyNumberFormat="1" applyFill="1" applyBorder="1" applyAlignment="1" applyProtection="1"/>
    <xf numFmtId="0" fontId="0" fillId="4" borderId="0" xfId="0" applyNumberFormat="1" applyFill="1" applyAlignment="1" applyProtection="1"/>
    <xf numFmtId="0" fontId="1" fillId="4" borderId="0" xfId="0" applyNumberFormat="1" applyFont="1" applyFill="1" applyAlignment="1" applyProtection="1"/>
    <xf numFmtId="0" fontId="0" fillId="4" borderId="1" xfId="0" applyNumberFormat="1" applyFill="1" applyBorder="1" applyAlignment="1" applyProtection="1"/>
    <xf numFmtId="0" fontId="0" fillId="5" borderId="0" xfId="0" applyNumberFormat="1" applyFill="1" applyAlignment="1" applyProtection="1"/>
    <xf numFmtId="0" fontId="0" fillId="0" borderId="3" xfId="0" applyNumberFormat="1" applyFill="1" applyBorder="1" applyAlignment="1" applyProtection="1"/>
    <xf numFmtId="0" fontId="0" fillId="0" borderId="4" xfId="0" applyNumberFormat="1" applyFill="1" applyBorder="1" applyAlignment="1" applyProtection="1"/>
    <xf numFmtId="0" fontId="1" fillId="5" borderId="1" xfId="0" applyNumberFormat="1" applyFont="1" applyFill="1" applyBorder="1" applyAlignment="1" applyProtection="1"/>
    <xf numFmtId="0" fontId="1" fillId="0" borderId="1" xfId="0" applyNumberFormat="1" applyFont="1" applyFill="1" applyBorder="1" applyAlignment="1" applyProtection="1"/>
    <xf numFmtId="0" fontId="0" fillId="0" borderId="0" xfId="0" applyNumberFormat="1" applyFill="1" applyAlignment="1" applyProtection="1">
      <alignment vertical="top" wrapText="1"/>
    </xf>
    <xf numFmtId="0" fontId="0" fillId="0" borderId="0" xfId="0" applyNumberFormat="1" applyFill="1" applyAlignment="1" applyProtection="1">
      <alignment horizontal="left"/>
    </xf>
    <xf numFmtId="0" fontId="0" fillId="4" borderId="1" xfId="0" applyNumberForma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/>
    <xf numFmtId="0" fontId="0" fillId="0" borderId="1" xfId="0" applyFont="1" applyFill="1" applyBorder="1" applyAlignment="1"/>
    <xf numFmtId="0" fontId="3" fillId="0" borderId="0" xfId="1" applyNumberFormat="1" applyFill="1" applyAlignment="1" applyProtection="1"/>
    <xf numFmtId="0" fontId="0" fillId="5" borderId="0" xfId="0" applyNumberFormat="1" applyFill="1" applyAlignment="1" applyProtection="1">
      <alignment horizontal="left" vertical="top" wrapText="1"/>
    </xf>
    <xf numFmtId="0" fontId="0" fillId="4" borderId="2" xfId="0" applyNumberFormat="1" applyFill="1" applyBorder="1" applyAlignment="1" applyProtection="1">
      <alignment horizontal="center"/>
    </xf>
    <xf numFmtId="0" fontId="0" fillId="4" borderId="3" xfId="0" applyNumberFormat="1" applyFill="1" applyBorder="1" applyAlignment="1" applyProtection="1">
      <alignment horizontal="center"/>
    </xf>
    <xf numFmtId="0" fontId="0" fillId="4" borderId="4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0" fontId="0" fillId="2" borderId="3" xfId="0" applyNumberFormat="1" applyFill="1" applyBorder="1" applyAlignment="1" applyProtection="1">
      <alignment horizontal="center"/>
    </xf>
    <xf numFmtId="0" fontId="0" fillId="2" borderId="4" xfId="0" applyNumberFormat="1" applyFill="1" applyBorder="1" applyAlignment="1" applyProtection="1">
      <alignment horizontal="center"/>
    </xf>
    <xf numFmtId="0" fontId="0" fillId="5" borderId="0" xfId="0" applyNumberFormat="1" applyFill="1" applyAlignment="1" applyProtection="1">
      <alignment vertical="top" wrapText="1"/>
    </xf>
    <xf numFmtId="0" fontId="0" fillId="0" borderId="2" xfId="0" applyNumberFormat="1" applyFill="1" applyBorder="1" applyAlignment="1" applyProtection="1">
      <alignment horizontal="left"/>
    </xf>
    <xf numFmtId="0" fontId="0" fillId="0" borderId="3" xfId="0" applyNumberFormat="1" applyFill="1" applyBorder="1" applyAlignment="1" applyProtection="1">
      <alignment horizontal="left"/>
    </xf>
    <xf numFmtId="0" fontId="0" fillId="0" borderId="4" xfId="0" applyNumberFormat="1" applyFill="1" applyBorder="1" applyAlignment="1" applyProtection="1">
      <alignment horizontal="left"/>
    </xf>
    <xf numFmtId="0" fontId="0" fillId="2" borderId="1" xfId="0" applyNumberForma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>
      <alignment horizontal="center"/>
    </xf>
    <xf numFmtId="0" fontId="0" fillId="0" borderId="1" xfId="0" applyNumberForma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98"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597529</xdr:colOff>
          <xdr:row>1</xdr:row>
          <xdr:rowOff>9053</xdr:rowOff>
        </xdr:from>
        <xdr:to>
          <xdr:col>9</xdr:col>
          <xdr:colOff>18107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Populate Asset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16"/>
  <sheetViews>
    <sheetView workbookViewId="0">
      <selection activeCell="B15" sqref="B15 B15"/>
    </sheetView>
  </sheetViews>
  <sheetFormatPr defaultRowHeight="14.3" x14ac:dyDescent="0.25"/>
  <cols>
    <col min="1" max="1" width="9.85546875" style="4" bestFit="1" customWidth="1"/>
    <col min="2" max="2" width="29" style="4" customWidth="1"/>
  </cols>
  <sheetData>
    <row r="1" spans="1:11" x14ac:dyDescent="0.25">
      <c r="A1" s="4" t="s">
        <v>0</v>
      </c>
      <c r="B1" s="4" t="s">
        <v>1</v>
      </c>
      <c r="C1" s="4" t="s">
        <v>2</v>
      </c>
    </row>
    <row r="2" spans="1:11" x14ac:dyDescent="0.25">
      <c r="A2" s="4" t="s">
        <v>3</v>
      </c>
      <c r="B2" s="4" t="s">
        <v>4</v>
      </c>
      <c r="C2" s="5" t="s">
        <v>5</v>
      </c>
      <c r="K2" s="4" t="s">
        <v>6</v>
      </c>
    </row>
    <row r="3" spans="1:11" x14ac:dyDescent="0.25">
      <c r="B3" s="4" t="s">
        <v>7</v>
      </c>
      <c r="C3" s="5" t="s">
        <v>8</v>
      </c>
    </row>
    <row r="4" spans="1:11" x14ac:dyDescent="0.25">
      <c r="B4" s="4" t="s">
        <v>9</v>
      </c>
      <c r="C4" s="5" t="s">
        <v>5</v>
      </c>
    </row>
    <row r="5" spans="1:11" x14ac:dyDescent="0.25">
      <c r="B5" s="4" t="s">
        <v>10</v>
      </c>
      <c r="C5" s="5" t="s">
        <v>8</v>
      </c>
    </row>
    <row r="6" spans="1:11" x14ac:dyDescent="0.25">
      <c r="A6" s="4" t="s">
        <v>11</v>
      </c>
      <c r="B6" s="4" t="s">
        <v>12</v>
      </c>
      <c r="C6" s="5" t="s">
        <v>8</v>
      </c>
    </row>
    <row r="7" spans="1:11" x14ac:dyDescent="0.25">
      <c r="B7" s="4" t="s">
        <v>11</v>
      </c>
      <c r="C7" s="5" t="s">
        <v>5</v>
      </c>
    </row>
    <row r="8" spans="1:11" x14ac:dyDescent="0.25">
      <c r="B8" s="4" t="s">
        <v>13</v>
      </c>
      <c r="C8" s="5" t="s">
        <v>8</v>
      </c>
    </row>
    <row r="9" spans="1:11" x14ac:dyDescent="0.25">
      <c r="B9" s="4" t="s">
        <v>14</v>
      </c>
      <c r="C9" s="5" t="s">
        <v>8</v>
      </c>
    </row>
    <row r="10" spans="1:11" x14ac:dyDescent="0.25">
      <c r="B10" s="4" t="s">
        <v>15</v>
      </c>
      <c r="C10" s="5" t="s">
        <v>8</v>
      </c>
    </row>
    <row r="11" spans="1:11" s="4" customFormat="1" x14ac:dyDescent="0.25">
      <c r="B11" s="4" t="s">
        <v>16</v>
      </c>
      <c r="C11" s="5" t="s">
        <v>8</v>
      </c>
    </row>
    <row r="12" spans="1:11" x14ac:dyDescent="0.25">
      <c r="A12" s="4" t="s">
        <v>17</v>
      </c>
      <c r="B12" s="4" t="s">
        <v>18</v>
      </c>
      <c r="C12" s="5" t="s">
        <v>8</v>
      </c>
    </row>
    <row r="13" spans="1:11" x14ac:dyDescent="0.25">
      <c r="B13" s="4" t="s">
        <v>19</v>
      </c>
      <c r="C13" s="5" t="s">
        <v>8</v>
      </c>
    </row>
    <row r="14" spans="1:11" x14ac:dyDescent="0.25">
      <c r="B14" s="4" t="s">
        <v>20</v>
      </c>
      <c r="C14" s="5" t="s">
        <v>8</v>
      </c>
    </row>
    <row r="15" spans="1:11" x14ac:dyDescent="0.25">
      <c r="B15" s="4" t="s">
        <v>21</v>
      </c>
      <c r="C15" s="5" t="s">
        <v>5</v>
      </c>
    </row>
    <row r="16" spans="1:11" x14ac:dyDescent="0.25">
      <c r="B16" s="4" t="s">
        <v>22</v>
      </c>
      <c r="C16" s="5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SheetNames">
                <anchor moveWithCells="1" sizeWithCells="1">
                  <from>
                    <xdr:col>5</xdr:col>
                    <xdr:colOff>597529</xdr:colOff>
                    <xdr:row>1</xdr:row>
                    <xdr:rowOff>9053</xdr:rowOff>
                  </from>
                  <to>
                    <xdr:col>9</xdr:col>
                    <xdr:colOff>18107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15"/>
  <sheetViews>
    <sheetView workbookViewId="0">
      <selection activeCell="C22" sqref="C22"/>
    </sheetView>
  </sheetViews>
  <sheetFormatPr defaultRowHeight="14.3" x14ac:dyDescent="0.25"/>
  <cols>
    <col min="1" max="3" width="9.140625" style="4" customWidth="1"/>
  </cols>
  <sheetData>
    <row r="1" spans="1:3" x14ac:dyDescent="0.25">
      <c r="A1" s="4" t="s">
        <v>23</v>
      </c>
      <c r="B1" s="4" t="s">
        <v>24</v>
      </c>
      <c r="C1" s="4" t="s">
        <v>25</v>
      </c>
    </row>
    <row r="2" spans="1:3" x14ac:dyDescent="0.25">
      <c r="A2" s="4" t="s">
        <v>26</v>
      </c>
      <c r="B2" s="4" t="s">
        <v>27</v>
      </c>
      <c r="C2" s="4" t="s">
        <v>28</v>
      </c>
    </row>
    <row r="3" spans="1:3" x14ac:dyDescent="0.25">
      <c r="B3" s="4" t="s">
        <v>29</v>
      </c>
      <c r="C3" s="4" t="s">
        <v>30</v>
      </c>
    </row>
    <row r="4" spans="1:3" x14ac:dyDescent="0.25">
      <c r="B4" s="4" t="s">
        <v>31</v>
      </c>
      <c r="C4" s="4" t="s">
        <v>32</v>
      </c>
    </row>
    <row r="5" spans="1:3" x14ac:dyDescent="0.25">
      <c r="B5" s="4" t="s">
        <v>33</v>
      </c>
      <c r="C5" s="4" t="s">
        <v>34</v>
      </c>
    </row>
    <row r="6" spans="1:3" x14ac:dyDescent="0.25">
      <c r="B6" s="4" t="s">
        <v>35</v>
      </c>
      <c r="C6" s="4" t="s">
        <v>36</v>
      </c>
    </row>
    <row r="7" spans="1:3" x14ac:dyDescent="0.25">
      <c r="C7" s="4" t="s">
        <v>37</v>
      </c>
    </row>
    <row r="8" spans="1:3" x14ac:dyDescent="0.25">
      <c r="C8" s="4" t="s">
        <v>38</v>
      </c>
    </row>
    <row r="9" spans="1:3" x14ac:dyDescent="0.25">
      <c r="C9" s="4" t="s">
        <v>39</v>
      </c>
    </row>
    <row r="10" spans="1:3" x14ac:dyDescent="0.25">
      <c r="C10" s="4" t="s">
        <v>40</v>
      </c>
    </row>
    <row r="11" spans="1:3" x14ac:dyDescent="0.25">
      <c r="C11" s="4" t="s">
        <v>41</v>
      </c>
    </row>
    <row r="12" spans="1:3" x14ac:dyDescent="0.25">
      <c r="C12" s="4" t="s">
        <v>42</v>
      </c>
    </row>
    <row r="13" spans="1:3" x14ac:dyDescent="0.25">
      <c r="C13" s="4" t="s">
        <v>43</v>
      </c>
    </row>
    <row r="14" spans="1:3" x14ac:dyDescent="0.25">
      <c r="C14" s="4" t="s">
        <v>44</v>
      </c>
    </row>
    <row r="15" spans="1:3" x14ac:dyDescent="0.25">
      <c r="C15" s="4" t="s">
        <v>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6"/>
  <sheetViews>
    <sheetView workbookViewId="0">
      <selection activeCell="B16" sqref="B16 B1"/>
    </sheetView>
  </sheetViews>
  <sheetFormatPr defaultRowHeight="14.3" x14ac:dyDescent="0.25"/>
  <cols>
    <col min="1" max="1" width="37.28515625" style="4" customWidth="1"/>
    <col min="2" max="2" width="49.7109375" style="4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s="4" t="s">
        <v>48</v>
      </c>
      <c r="B2" s="4" t="s">
        <v>49</v>
      </c>
    </row>
    <row r="3" spans="1:2" x14ac:dyDescent="0.25">
      <c r="A3" s="4" t="s">
        <v>50</v>
      </c>
      <c r="B3" s="4" t="s">
        <v>51</v>
      </c>
    </row>
    <row r="4" spans="1:2" x14ac:dyDescent="0.25">
      <c r="A4" s="4" t="s">
        <v>52</v>
      </c>
      <c r="B4" s="4" t="s">
        <v>53</v>
      </c>
    </row>
    <row r="5" spans="1:2" x14ac:dyDescent="0.25">
      <c r="A5" s="4" t="s">
        <v>54</v>
      </c>
      <c r="B5" s="4" t="s">
        <v>55</v>
      </c>
    </row>
    <row r="6" spans="1:2" x14ac:dyDescent="0.25">
      <c r="A6" s="4" t="s">
        <v>56</v>
      </c>
      <c r="B6" s="4" t="s">
        <v>57</v>
      </c>
    </row>
    <row r="7" spans="1:2" x14ac:dyDescent="0.25">
      <c r="A7" s="4" t="s">
        <v>58</v>
      </c>
      <c r="B7" s="4" t="s">
        <v>59</v>
      </c>
    </row>
    <row r="8" spans="1:2" x14ac:dyDescent="0.25">
      <c r="A8" s="4" t="s">
        <v>60</v>
      </c>
      <c r="B8" s="4" t="s">
        <v>61</v>
      </c>
    </row>
    <row r="9" spans="1:2" x14ac:dyDescent="0.25">
      <c r="A9" s="4" t="s">
        <v>62</v>
      </c>
      <c r="B9" s="4" t="s">
        <v>63</v>
      </c>
    </row>
    <row r="10" spans="1:2" x14ac:dyDescent="0.25">
      <c r="A10" s="4" t="s">
        <v>64</v>
      </c>
      <c r="B10" s="4" t="s">
        <v>65</v>
      </c>
    </row>
    <row r="11" spans="1:2" x14ac:dyDescent="0.25">
      <c r="A11" s="4" t="s">
        <v>66</v>
      </c>
      <c r="B11" s="4" t="s">
        <v>67</v>
      </c>
    </row>
    <row r="12" spans="1:2" x14ac:dyDescent="0.25">
      <c r="A12" s="4" t="s">
        <v>68</v>
      </c>
      <c r="B12" s="4" t="s">
        <v>69</v>
      </c>
    </row>
    <row r="13" spans="1:2" x14ac:dyDescent="0.25">
      <c r="A13" s="4" t="s">
        <v>70</v>
      </c>
      <c r="B13" s="4" t="s">
        <v>71</v>
      </c>
    </row>
    <row r="14" spans="1:2" x14ac:dyDescent="0.25">
      <c r="A14" s="4" t="s">
        <v>72</v>
      </c>
      <c r="B14" s="4" t="s">
        <v>73</v>
      </c>
    </row>
    <row r="15" spans="1:2" x14ac:dyDescent="0.25">
      <c r="A15" s="4" t="s">
        <v>74</v>
      </c>
      <c r="B15" s="4" t="s">
        <v>75</v>
      </c>
    </row>
    <row r="16" spans="1:2" x14ac:dyDescent="0.25">
      <c r="A16" s="4" t="s">
        <v>76</v>
      </c>
      <c r="B16" s="4" t="s">
        <v>77</v>
      </c>
    </row>
    <row r="17" spans="1:2" x14ac:dyDescent="0.25">
      <c r="A17" s="4" t="s">
        <v>78</v>
      </c>
      <c r="B17" s="4" t="s">
        <v>79</v>
      </c>
    </row>
    <row r="18" spans="1:2" x14ac:dyDescent="0.25">
      <c r="A18" s="4" t="s">
        <v>80</v>
      </c>
      <c r="B18" s="4" t="s">
        <v>81</v>
      </c>
    </row>
    <row r="19" spans="1:2" x14ac:dyDescent="0.25">
      <c r="A19" s="4" t="s">
        <v>82</v>
      </c>
      <c r="B19" s="4" t="s">
        <v>83</v>
      </c>
    </row>
    <row r="20" spans="1:2" x14ac:dyDescent="0.25">
      <c r="A20" s="4" t="s">
        <v>84</v>
      </c>
      <c r="B20" s="4" t="s">
        <v>85</v>
      </c>
    </row>
    <row r="21" spans="1:2" x14ac:dyDescent="0.25">
      <c r="A21" s="4" t="s">
        <v>86</v>
      </c>
      <c r="B21" s="4" t="s">
        <v>87</v>
      </c>
    </row>
    <row r="22" spans="1:2" x14ac:dyDescent="0.25">
      <c r="A22" s="4" t="s">
        <v>88</v>
      </c>
      <c r="B22" s="4" t="s">
        <v>89</v>
      </c>
    </row>
    <row r="23" spans="1:2" x14ac:dyDescent="0.25">
      <c r="A23" s="4" t="s">
        <v>90</v>
      </c>
      <c r="B23" s="4" t="s">
        <v>91</v>
      </c>
    </row>
    <row r="24" spans="1:2" x14ac:dyDescent="0.25">
      <c r="A24" s="4" t="s">
        <v>92</v>
      </c>
      <c r="B24" s="4" t="s">
        <v>93</v>
      </c>
    </row>
    <row r="25" spans="1:2" x14ac:dyDescent="0.25">
      <c r="A25" s="4" t="s">
        <v>94</v>
      </c>
      <c r="B25" s="4" t="s">
        <v>95</v>
      </c>
    </row>
    <row r="26" spans="1:2" x14ac:dyDescent="0.25">
      <c r="A26" s="4" t="s">
        <v>96</v>
      </c>
      <c r="B26" s="4" t="s">
        <v>97</v>
      </c>
    </row>
    <row r="27" spans="1:2" x14ac:dyDescent="0.25">
      <c r="A27" s="4" t="s">
        <v>98</v>
      </c>
      <c r="B27" s="4" t="s">
        <v>99</v>
      </c>
    </row>
    <row r="28" spans="1:2" x14ac:dyDescent="0.25">
      <c r="A28" s="4" t="s">
        <v>100</v>
      </c>
      <c r="B28" s="4" t="s">
        <v>101</v>
      </c>
    </row>
    <row r="29" spans="1:2" x14ac:dyDescent="0.25">
      <c r="A29" s="4" t="s">
        <v>102</v>
      </c>
      <c r="B29" s="4" t="s">
        <v>103</v>
      </c>
    </row>
    <row r="30" spans="1:2" x14ac:dyDescent="0.25">
      <c r="A30" s="4" t="s">
        <v>104</v>
      </c>
      <c r="B30" s="4" t="s">
        <v>105</v>
      </c>
    </row>
    <row r="31" spans="1:2" x14ac:dyDescent="0.25">
      <c r="A31" s="4" t="s">
        <v>106</v>
      </c>
      <c r="B31" s="4" t="s">
        <v>107</v>
      </c>
    </row>
    <row r="32" spans="1:2" x14ac:dyDescent="0.25">
      <c r="A32" s="4" t="s">
        <v>108</v>
      </c>
      <c r="B32" s="4" t="s">
        <v>109</v>
      </c>
    </row>
    <row r="33" spans="1:2" x14ac:dyDescent="0.25">
      <c r="A33" s="4" t="s">
        <v>110</v>
      </c>
      <c r="B33" s="4" t="s">
        <v>111</v>
      </c>
    </row>
    <row r="34" spans="1:2" x14ac:dyDescent="0.25">
      <c r="A34" s="4" t="s">
        <v>112</v>
      </c>
      <c r="B34" s="4" t="s">
        <v>113</v>
      </c>
    </row>
    <row r="35" spans="1:2" x14ac:dyDescent="0.25">
      <c r="A35" s="4" t="s">
        <v>114</v>
      </c>
      <c r="B35" s="4" t="s">
        <v>115</v>
      </c>
    </row>
    <row r="36" spans="1:2" x14ac:dyDescent="0.25">
      <c r="A36" s="4" t="s">
        <v>116</v>
      </c>
      <c r="B36" s="4" t="s">
        <v>117</v>
      </c>
    </row>
    <row r="37" spans="1:2" x14ac:dyDescent="0.25">
      <c r="A37" s="4" t="s">
        <v>118</v>
      </c>
      <c r="B37" s="4" t="s">
        <v>119</v>
      </c>
    </row>
    <row r="38" spans="1:2" x14ac:dyDescent="0.25">
      <c r="A38" s="4" t="s">
        <v>120</v>
      </c>
      <c r="B38" s="4" t="s">
        <v>121</v>
      </c>
    </row>
    <row r="39" spans="1:2" x14ac:dyDescent="0.25">
      <c r="A39" s="4" t="s">
        <v>122</v>
      </c>
      <c r="B39" s="4" t="s">
        <v>123</v>
      </c>
    </row>
    <row r="40" spans="1:2" x14ac:dyDescent="0.25">
      <c r="A40" s="4" t="s">
        <v>124</v>
      </c>
      <c r="B40" s="4" t="s">
        <v>125</v>
      </c>
    </row>
    <row r="41" spans="1:2" x14ac:dyDescent="0.25">
      <c r="A41" s="4" t="s">
        <v>126</v>
      </c>
      <c r="B41" s="4" t="s">
        <v>127</v>
      </c>
    </row>
    <row r="42" spans="1:2" x14ac:dyDescent="0.25">
      <c r="A42" s="4" t="s">
        <v>128</v>
      </c>
      <c r="B42" s="4" t="s">
        <v>129</v>
      </c>
    </row>
    <row r="43" spans="1:2" x14ac:dyDescent="0.25">
      <c r="A43" s="4" t="s">
        <v>130</v>
      </c>
      <c r="B43" s="4" t="s">
        <v>131</v>
      </c>
    </row>
    <row r="44" spans="1:2" x14ac:dyDescent="0.25">
      <c r="A44" s="4" t="s">
        <v>132</v>
      </c>
      <c r="B44" s="4" t="s">
        <v>133</v>
      </c>
    </row>
    <row r="45" spans="1:2" x14ac:dyDescent="0.25">
      <c r="A45" s="4" t="s">
        <v>134</v>
      </c>
      <c r="B45" s="4" t="s">
        <v>135</v>
      </c>
    </row>
    <row r="46" spans="1:2" x14ac:dyDescent="0.25">
      <c r="A46" s="4" t="s">
        <v>136</v>
      </c>
      <c r="B46" s="4" t="s">
        <v>137</v>
      </c>
    </row>
    <row r="47" spans="1:2" x14ac:dyDescent="0.25">
      <c r="A47" s="4" t="s">
        <v>138</v>
      </c>
      <c r="B47" s="4" t="s">
        <v>139</v>
      </c>
    </row>
    <row r="48" spans="1:2" x14ac:dyDescent="0.25">
      <c r="A48" s="4" t="s">
        <v>140</v>
      </c>
      <c r="B48" s="4" t="s">
        <v>141</v>
      </c>
    </row>
    <row r="49" spans="1:2" x14ac:dyDescent="0.25">
      <c r="A49" s="4" t="s">
        <v>142</v>
      </c>
      <c r="B49" s="4" t="s">
        <v>143</v>
      </c>
    </row>
    <row r="50" spans="1:2" x14ac:dyDescent="0.25">
      <c r="A50" s="4" t="s">
        <v>144</v>
      </c>
      <c r="B50" s="4" t="s">
        <v>145</v>
      </c>
    </row>
    <row r="51" spans="1:2" x14ac:dyDescent="0.25">
      <c r="A51" s="4" t="s">
        <v>146</v>
      </c>
      <c r="B51" s="4" t="s">
        <v>147</v>
      </c>
    </row>
    <row r="52" spans="1:2" x14ac:dyDescent="0.25">
      <c r="A52" s="4" t="s">
        <v>148</v>
      </c>
      <c r="B52" s="4" t="s">
        <v>149</v>
      </c>
    </row>
    <row r="53" spans="1:2" x14ac:dyDescent="0.25">
      <c r="A53" s="4" t="s">
        <v>150</v>
      </c>
      <c r="B53" s="4" t="s">
        <v>151</v>
      </c>
    </row>
    <row r="54" spans="1:2" x14ac:dyDescent="0.25">
      <c r="A54" s="4" t="s">
        <v>152</v>
      </c>
      <c r="B54" s="4" t="s">
        <v>153</v>
      </c>
    </row>
    <row r="55" spans="1:2" x14ac:dyDescent="0.25">
      <c r="A55" s="4" t="s">
        <v>154</v>
      </c>
      <c r="B55" s="4" t="s">
        <v>155</v>
      </c>
    </row>
    <row r="56" spans="1:2" x14ac:dyDescent="0.25">
      <c r="A56" s="4" t="s">
        <v>156</v>
      </c>
      <c r="B56" s="4" t="s">
        <v>157</v>
      </c>
    </row>
    <row r="57" spans="1:2" x14ac:dyDescent="0.25">
      <c r="A57" s="4" t="s">
        <v>158</v>
      </c>
      <c r="B57" s="4" t="s">
        <v>159</v>
      </c>
    </row>
    <row r="58" spans="1:2" x14ac:dyDescent="0.25">
      <c r="A58" s="4" t="s">
        <v>160</v>
      </c>
      <c r="B58" s="4" t="s">
        <v>161</v>
      </c>
    </row>
    <row r="59" spans="1:2" x14ac:dyDescent="0.25">
      <c r="A59" s="4" t="s">
        <v>162</v>
      </c>
      <c r="B59" s="4" t="s">
        <v>163</v>
      </c>
    </row>
    <row r="60" spans="1:2" x14ac:dyDescent="0.25">
      <c r="A60" s="4" t="s">
        <v>164</v>
      </c>
      <c r="B60" s="4" t="s">
        <v>165</v>
      </c>
    </row>
    <row r="61" spans="1:2" x14ac:dyDescent="0.25">
      <c r="A61" s="4" t="s">
        <v>166</v>
      </c>
      <c r="B61" s="4" t="s">
        <v>167</v>
      </c>
    </row>
    <row r="62" spans="1:2" x14ac:dyDescent="0.25">
      <c r="A62" s="4" t="s">
        <v>168</v>
      </c>
      <c r="B62" s="4" t="s">
        <v>169</v>
      </c>
    </row>
    <row r="63" spans="1:2" x14ac:dyDescent="0.25">
      <c r="A63" s="4" t="s">
        <v>170</v>
      </c>
      <c r="B63" s="4" t="s">
        <v>171</v>
      </c>
    </row>
    <row r="64" spans="1:2" x14ac:dyDescent="0.25">
      <c r="A64" s="4" t="s">
        <v>172</v>
      </c>
      <c r="B64" s="4" t="s">
        <v>173</v>
      </c>
    </row>
    <row r="65" spans="1:2" x14ac:dyDescent="0.25">
      <c r="A65" s="4" t="s">
        <v>174</v>
      </c>
      <c r="B65" s="4" t="s">
        <v>175</v>
      </c>
    </row>
    <row r="66" spans="1:2" x14ac:dyDescent="0.25">
      <c r="A66" s="4" t="s">
        <v>176</v>
      </c>
      <c r="B66" s="4" t="s">
        <v>177</v>
      </c>
    </row>
    <row r="67" spans="1:2" x14ac:dyDescent="0.25">
      <c r="A67" s="4" t="s">
        <v>178</v>
      </c>
      <c r="B67" s="4" t="s">
        <v>179</v>
      </c>
    </row>
    <row r="68" spans="1:2" x14ac:dyDescent="0.25">
      <c r="A68" s="4" t="s">
        <v>180</v>
      </c>
      <c r="B68" s="4" t="s">
        <v>181</v>
      </c>
    </row>
    <row r="69" spans="1:2" x14ac:dyDescent="0.25">
      <c r="A69" s="4" t="s">
        <v>182</v>
      </c>
      <c r="B69" s="4" t="s">
        <v>183</v>
      </c>
    </row>
    <row r="70" spans="1:2" x14ac:dyDescent="0.25">
      <c r="A70" s="4" t="s">
        <v>184</v>
      </c>
      <c r="B70" s="4" t="s">
        <v>185</v>
      </c>
    </row>
    <row r="71" spans="1:2" x14ac:dyDescent="0.25">
      <c r="A71" s="4" t="s">
        <v>186</v>
      </c>
      <c r="B71" s="4" t="s">
        <v>187</v>
      </c>
    </row>
    <row r="72" spans="1:2" x14ac:dyDescent="0.25">
      <c r="A72" s="4" t="s">
        <v>188</v>
      </c>
      <c r="B72" s="4" t="s">
        <v>189</v>
      </c>
    </row>
    <row r="73" spans="1:2" x14ac:dyDescent="0.25">
      <c r="A73" s="4" t="s">
        <v>190</v>
      </c>
      <c r="B73" s="4" t="s">
        <v>191</v>
      </c>
    </row>
    <row r="74" spans="1:2" x14ac:dyDescent="0.25">
      <c r="A74" s="4" t="s">
        <v>192</v>
      </c>
      <c r="B74" s="4" t="s">
        <v>193</v>
      </c>
    </row>
    <row r="75" spans="1:2" x14ac:dyDescent="0.25">
      <c r="A75" s="4" t="s">
        <v>194</v>
      </c>
      <c r="B75" s="4" t="s">
        <v>195</v>
      </c>
    </row>
    <row r="76" spans="1:2" x14ac:dyDescent="0.25">
      <c r="A76" s="4" t="s">
        <v>196</v>
      </c>
      <c r="B76" s="4" t="s">
        <v>197</v>
      </c>
    </row>
    <row r="77" spans="1:2" x14ac:dyDescent="0.25">
      <c r="A77" s="4" t="s">
        <v>198</v>
      </c>
      <c r="B77" s="4" t="s">
        <v>199</v>
      </c>
    </row>
    <row r="78" spans="1:2" x14ac:dyDescent="0.25">
      <c r="A78" s="4" t="s">
        <v>200</v>
      </c>
      <c r="B78" s="4" t="s">
        <v>201</v>
      </c>
    </row>
    <row r="79" spans="1:2" x14ac:dyDescent="0.25">
      <c r="A79" s="4" t="s">
        <v>202</v>
      </c>
      <c r="B79" s="4" t="s">
        <v>203</v>
      </c>
    </row>
    <row r="80" spans="1:2" x14ac:dyDescent="0.25">
      <c r="A80" s="4" t="s">
        <v>204</v>
      </c>
      <c r="B80" s="4" t="s">
        <v>205</v>
      </c>
    </row>
    <row r="81" spans="1:2" x14ac:dyDescent="0.25">
      <c r="A81" s="4" t="s">
        <v>206</v>
      </c>
      <c r="B81" s="4" t="s">
        <v>207</v>
      </c>
    </row>
    <row r="82" spans="1:2" x14ac:dyDescent="0.25">
      <c r="A82" s="4" t="s">
        <v>208</v>
      </c>
      <c r="B82" s="4" t="s">
        <v>209</v>
      </c>
    </row>
    <row r="83" spans="1:2" x14ac:dyDescent="0.25">
      <c r="A83" s="4" t="s">
        <v>210</v>
      </c>
      <c r="B83" s="4" t="s">
        <v>211</v>
      </c>
    </row>
    <row r="84" spans="1:2" x14ac:dyDescent="0.25">
      <c r="A84" s="4" t="s">
        <v>212</v>
      </c>
      <c r="B84" s="4" t="s">
        <v>213</v>
      </c>
    </row>
    <row r="85" spans="1:2" x14ac:dyDescent="0.25">
      <c r="A85" s="4" t="s">
        <v>214</v>
      </c>
      <c r="B85" s="4" t="s">
        <v>215</v>
      </c>
    </row>
    <row r="86" spans="1:2" x14ac:dyDescent="0.25">
      <c r="A86" s="4" t="s">
        <v>216</v>
      </c>
      <c r="B86" s="4" t="s">
        <v>217</v>
      </c>
    </row>
    <row r="87" spans="1:2" x14ac:dyDescent="0.25">
      <c r="A87" s="4" t="s">
        <v>218</v>
      </c>
      <c r="B87" s="4" t="s">
        <v>219</v>
      </c>
    </row>
    <row r="88" spans="1:2" x14ac:dyDescent="0.25">
      <c r="A88" s="4" t="s">
        <v>220</v>
      </c>
      <c r="B88" s="4" t="s">
        <v>221</v>
      </c>
    </row>
    <row r="89" spans="1:2" x14ac:dyDescent="0.25">
      <c r="A89" s="4" t="s">
        <v>222</v>
      </c>
      <c r="B89" s="4" t="s">
        <v>223</v>
      </c>
    </row>
    <row r="90" spans="1:2" x14ac:dyDescent="0.25">
      <c r="A90" s="4" t="s">
        <v>224</v>
      </c>
      <c r="B90" s="4" t="s">
        <v>225</v>
      </c>
    </row>
    <row r="91" spans="1:2" x14ac:dyDescent="0.25">
      <c r="A91" s="4" t="s">
        <v>226</v>
      </c>
      <c r="B91" s="4" t="s">
        <v>227</v>
      </c>
    </row>
    <row r="92" spans="1:2" x14ac:dyDescent="0.25">
      <c r="A92" s="4" t="s">
        <v>228</v>
      </c>
      <c r="B92" s="4" t="s">
        <v>229</v>
      </c>
    </row>
    <row r="93" spans="1:2" x14ac:dyDescent="0.25">
      <c r="A93" s="4" t="s">
        <v>230</v>
      </c>
      <c r="B93" s="4" t="s">
        <v>231</v>
      </c>
    </row>
    <row r="94" spans="1:2" x14ac:dyDescent="0.25">
      <c r="A94" s="4" t="s">
        <v>232</v>
      </c>
      <c r="B94" s="4" t="s">
        <v>233</v>
      </c>
    </row>
    <row r="95" spans="1:2" x14ac:dyDescent="0.25">
      <c r="A95" s="4" t="s">
        <v>234</v>
      </c>
      <c r="B95" s="4" t="s">
        <v>235</v>
      </c>
    </row>
    <row r="96" spans="1:2" x14ac:dyDescent="0.25">
      <c r="A96" s="4" t="s">
        <v>236</v>
      </c>
      <c r="B96" s="4" t="s">
        <v>237</v>
      </c>
    </row>
    <row r="97" spans="1:2" x14ac:dyDescent="0.25">
      <c r="A97" s="4" t="s">
        <v>238</v>
      </c>
      <c r="B97" s="4" t="s">
        <v>239</v>
      </c>
    </row>
    <row r="98" spans="1:2" x14ac:dyDescent="0.25">
      <c r="A98" s="4" t="s">
        <v>240</v>
      </c>
      <c r="B98" s="4" t="s">
        <v>241</v>
      </c>
    </row>
    <row r="99" spans="1:2" x14ac:dyDescent="0.25">
      <c r="A99" s="4" t="s">
        <v>242</v>
      </c>
      <c r="B99" s="4" t="s">
        <v>243</v>
      </c>
    </row>
    <row r="100" spans="1:2" x14ac:dyDescent="0.25">
      <c r="A100" s="4" t="s">
        <v>244</v>
      </c>
      <c r="B100" s="4" t="s">
        <v>245</v>
      </c>
    </row>
    <row r="101" spans="1:2" x14ac:dyDescent="0.25">
      <c r="A101" s="4" t="s">
        <v>246</v>
      </c>
      <c r="B101" s="4" t="s">
        <v>247</v>
      </c>
    </row>
    <row r="102" spans="1:2" x14ac:dyDescent="0.25">
      <c r="A102" s="4" t="s">
        <v>248</v>
      </c>
      <c r="B102" s="4" t="s">
        <v>249</v>
      </c>
    </row>
    <row r="103" spans="1:2" x14ac:dyDescent="0.25">
      <c r="A103" s="4" t="s">
        <v>250</v>
      </c>
      <c r="B103" s="4" t="s">
        <v>251</v>
      </c>
    </row>
    <row r="104" spans="1:2" x14ac:dyDescent="0.25">
      <c r="A104" s="4" t="s">
        <v>252</v>
      </c>
      <c r="B104" s="4" t="s">
        <v>253</v>
      </c>
    </row>
    <row r="105" spans="1:2" x14ac:dyDescent="0.25">
      <c r="A105" s="4" t="s">
        <v>254</v>
      </c>
      <c r="B105" s="4" t="s">
        <v>255</v>
      </c>
    </row>
    <row r="106" spans="1:2" x14ac:dyDescent="0.25">
      <c r="A106" s="4" t="s">
        <v>256</v>
      </c>
      <c r="B106" s="4" t="s">
        <v>257</v>
      </c>
    </row>
    <row r="107" spans="1:2" x14ac:dyDescent="0.25">
      <c r="A107" s="4" t="s">
        <v>258</v>
      </c>
      <c r="B107" s="4" t="s">
        <v>259</v>
      </c>
    </row>
    <row r="108" spans="1:2" x14ac:dyDescent="0.25">
      <c r="A108" s="4" t="s">
        <v>260</v>
      </c>
      <c r="B108" s="4" t="s">
        <v>261</v>
      </c>
    </row>
    <row r="109" spans="1:2" x14ac:dyDescent="0.25">
      <c r="A109" s="4" t="s">
        <v>262</v>
      </c>
      <c r="B109" s="4" t="s">
        <v>263</v>
      </c>
    </row>
    <row r="110" spans="1:2" x14ac:dyDescent="0.25">
      <c r="A110" s="4" t="s">
        <v>264</v>
      </c>
      <c r="B110" s="4" t="s">
        <v>265</v>
      </c>
    </row>
    <row r="111" spans="1:2" x14ac:dyDescent="0.25">
      <c r="A111" s="4" t="s">
        <v>266</v>
      </c>
      <c r="B111" s="4" t="s">
        <v>267</v>
      </c>
    </row>
    <row r="112" spans="1:2" x14ac:dyDescent="0.25">
      <c r="A112" s="4" t="s">
        <v>268</v>
      </c>
      <c r="B112" s="4" t="s">
        <v>269</v>
      </c>
    </row>
    <row r="113" spans="1:2" x14ac:dyDescent="0.25">
      <c r="A113" s="4" t="s">
        <v>270</v>
      </c>
      <c r="B113" s="4" t="s">
        <v>271</v>
      </c>
    </row>
    <row r="114" spans="1:2" x14ac:dyDescent="0.25">
      <c r="A114" s="4" t="s">
        <v>272</v>
      </c>
      <c r="B114" s="4" t="s">
        <v>273</v>
      </c>
    </row>
    <row r="115" spans="1:2" x14ac:dyDescent="0.25">
      <c r="A115" s="4" t="s">
        <v>274</v>
      </c>
      <c r="B115" s="4" t="s">
        <v>275</v>
      </c>
    </row>
    <row r="116" spans="1:2" x14ac:dyDescent="0.25">
      <c r="A116" s="4" t="s">
        <v>276</v>
      </c>
      <c r="B116" s="4" t="s">
        <v>277</v>
      </c>
    </row>
    <row r="117" spans="1:2" x14ac:dyDescent="0.25">
      <c r="A117" s="4" t="s">
        <v>278</v>
      </c>
      <c r="B117" s="4" t="s">
        <v>279</v>
      </c>
    </row>
    <row r="118" spans="1:2" x14ac:dyDescent="0.25">
      <c r="A118" s="4" t="s">
        <v>280</v>
      </c>
      <c r="B118" s="4" t="s">
        <v>281</v>
      </c>
    </row>
    <row r="119" spans="1:2" x14ac:dyDescent="0.25">
      <c r="A119" s="4" t="s">
        <v>282</v>
      </c>
      <c r="B119" s="4" t="s">
        <v>283</v>
      </c>
    </row>
    <row r="120" spans="1:2" x14ac:dyDescent="0.25">
      <c r="A120" s="4" t="s">
        <v>284</v>
      </c>
      <c r="B120" s="4" t="s">
        <v>285</v>
      </c>
    </row>
    <row r="121" spans="1:2" x14ac:dyDescent="0.25">
      <c r="A121" s="4" t="s">
        <v>286</v>
      </c>
      <c r="B121" s="4" t="s">
        <v>287</v>
      </c>
    </row>
    <row r="122" spans="1:2" x14ac:dyDescent="0.25">
      <c r="A122" s="4" t="s">
        <v>288</v>
      </c>
      <c r="B122" s="4" t="s">
        <v>289</v>
      </c>
    </row>
    <row r="123" spans="1:2" x14ac:dyDescent="0.25">
      <c r="A123" s="4" t="s">
        <v>290</v>
      </c>
      <c r="B123" s="4" t="s">
        <v>291</v>
      </c>
    </row>
    <row r="124" spans="1:2" x14ac:dyDescent="0.25">
      <c r="A124" s="4" t="s">
        <v>292</v>
      </c>
      <c r="B124" s="4" t="s">
        <v>293</v>
      </c>
    </row>
    <row r="125" spans="1:2" x14ac:dyDescent="0.25">
      <c r="A125" s="4" t="s">
        <v>294</v>
      </c>
      <c r="B125" s="4" t="s">
        <v>295</v>
      </c>
    </row>
    <row r="126" spans="1:2" x14ac:dyDescent="0.25">
      <c r="A126" s="4" t="s">
        <v>296</v>
      </c>
      <c r="B126" s="4" t="s">
        <v>297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14"/>
  <sheetViews>
    <sheetView workbookViewId="0">
      <selection activeCell="B8" sqref="B8 B8"/>
    </sheetView>
  </sheetViews>
  <sheetFormatPr defaultRowHeight="14.3" x14ac:dyDescent="0.25"/>
  <sheetData>
    <row r="1" spans="1:2" x14ac:dyDescent="0.25">
      <c r="A1" s="24" t="s">
        <v>554</v>
      </c>
    </row>
    <row r="2" spans="1:2" x14ac:dyDescent="0.25">
      <c r="A2" s="24" t="s">
        <v>556</v>
      </c>
    </row>
    <row r="3" spans="1:2" x14ac:dyDescent="0.25">
      <c r="A3" s="24" t="s">
        <v>573</v>
      </c>
    </row>
    <row r="4" spans="1:2" x14ac:dyDescent="0.25">
      <c r="A4" s="24" t="s">
        <v>555</v>
      </c>
    </row>
    <row r="5" spans="1:2" x14ac:dyDescent="0.25">
      <c r="A5" s="24" t="s">
        <v>557</v>
      </c>
    </row>
    <row r="6" spans="1:2" x14ac:dyDescent="0.25">
      <c r="A6" s="24" t="s">
        <v>574</v>
      </c>
    </row>
    <row r="7" spans="1:2" x14ac:dyDescent="0.25">
      <c r="A7" s="24" t="s">
        <v>558</v>
      </c>
    </row>
    <row r="8" spans="1:2" x14ac:dyDescent="0.25">
      <c r="A8" s="24"/>
      <c r="B8" s="4"/>
    </row>
    <row r="9" spans="1:2" x14ac:dyDescent="0.25">
      <c r="A9" s="6"/>
    </row>
    <row r="10" spans="1:2" x14ac:dyDescent="0.25">
      <c r="A10" s="6"/>
    </row>
    <row r="11" spans="1:2" x14ac:dyDescent="0.25">
      <c r="A11" s="6"/>
    </row>
    <row r="12" spans="1:2" x14ac:dyDescent="0.25">
      <c r="A12" s="6"/>
    </row>
    <row r="13" spans="1:2" x14ac:dyDescent="0.25">
      <c r="A13" s="6"/>
    </row>
    <row r="14" spans="1:2" x14ac:dyDescent="0.25">
      <c r="A14" s="6"/>
    </row>
  </sheetData>
  <dataConsolidate/>
  <hyperlinks>
    <hyperlink ref="A1" location="Start_10" display="Sign Panel Basic" xr:uid="{7D841254-AAC5-4225-A70E-0239A43AE459}"/>
    <hyperlink ref="A2" location="Start_11" display="Sign (Stop)" xr:uid="{8B5B65E3-6402-4358-B128-ABDC34E595EC}"/>
    <hyperlink ref="A3" location="Start_12" display="Sign (Stop) Lookup" xr:uid="{0C5E1306-22A0-48B8-8D6E-AEF21072C060}"/>
    <hyperlink ref="A4" location="Start_13" display="Sign Location" xr:uid="{8ACEED47-8B37-4097-BC3A-EF03E10FD1C3}"/>
    <hyperlink ref="A5" location="Start_14" display="Sign (Speed)" xr:uid="{BC513C4D-E162-4C36-8E7F-1BAD2A548755}"/>
    <hyperlink ref="A6" location="Start_15" display="Sign (Speed) Lookup" xr:uid="{CA2C1F98-DAA5-441F-A253-D2B5CE7D2B41}"/>
    <hyperlink ref="A7" location="Start_16" display="Guardrail" xr:uid="{7C961BC5-07D7-4F15-910C-CD6A7F694131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MJ5"/>
  <sheetViews>
    <sheetView workbookViewId="0">
      <selection activeCell="C5" sqref="C5"/>
    </sheetView>
  </sheetViews>
  <sheetFormatPr defaultColWidth="21.28515625" defaultRowHeight="14.3" x14ac:dyDescent="0.25"/>
  <sheetData>
    <row r="1" spans="1:1024" s="7" customFormat="1" x14ac:dyDescent="0.25">
      <c r="A1" s="7" t="s">
        <v>298</v>
      </c>
      <c r="B1" s="7" t="s">
        <v>299</v>
      </c>
      <c r="C1" s="7" t="str">
        <f>IF(COUNTA(B$2:B$32768)&gt;0,"Asset "&amp;COLUMN(B$1),"")</f>
        <v>Asset 2</v>
      </c>
      <c r="D1" s="7" t="str">
        <f t="shared" ref="D1:BO1" si="0">IF(COUNTA(C$2:C$32768)&gt;0, "Asset " &amp; COLUMN(C$1), "")</f>
        <v>Asset 3</v>
      </c>
      <c r="E1" s="7" t="str">
        <f t="shared" si="0"/>
        <v/>
      </c>
      <c r="F1" s="7" t="str">
        <f t="shared" si="0"/>
        <v/>
      </c>
      <c r="G1" s="7" t="str">
        <f t="shared" si="0"/>
        <v/>
      </c>
      <c r="H1" s="7" t="str">
        <f t="shared" si="0"/>
        <v/>
      </c>
      <c r="I1" s="7" t="str">
        <f t="shared" si="0"/>
        <v/>
      </c>
      <c r="J1" s="7" t="str">
        <f t="shared" si="0"/>
        <v/>
      </c>
      <c r="K1" s="7" t="str">
        <f t="shared" si="0"/>
        <v/>
      </c>
      <c r="L1" s="7" t="str">
        <f t="shared" si="0"/>
        <v/>
      </c>
      <c r="M1" s="7" t="str">
        <f t="shared" si="0"/>
        <v/>
      </c>
      <c r="N1" s="7" t="str">
        <f t="shared" si="0"/>
        <v/>
      </c>
      <c r="O1" s="7" t="str">
        <f t="shared" si="0"/>
        <v/>
      </c>
      <c r="P1" s="7" t="str">
        <f t="shared" si="0"/>
        <v/>
      </c>
      <c r="Q1" s="7" t="str">
        <f t="shared" si="0"/>
        <v/>
      </c>
      <c r="R1" s="7" t="str">
        <f t="shared" si="0"/>
        <v/>
      </c>
      <c r="S1" s="7" t="str">
        <f t="shared" si="0"/>
        <v/>
      </c>
      <c r="T1" s="7" t="str">
        <f t="shared" si="0"/>
        <v/>
      </c>
      <c r="U1" s="7" t="str">
        <f t="shared" si="0"/>
        <v/>
      </c>
      <c r="V1" s="7" t="str">
        <f t="shared" si="0"/>
        <v/>
      </c>
      <c r="W1" s="7" t="str">
        <f t="shared" si="0"/>
        <v/>
      </c>
      <c r="X1" s="7" t="str">
        <f t="shared" si="0"/>
        <v/>
      </c>
      <c r="Y1" s="7" t="str">
        <f t="shared" si="0"/>
        <v/>
      </c>
      <c r="Z1" s="7" t="str">
        <f t="shared" si="0"/>
        <v/>
      </c>
      <c r="AA1" s="7" t="str">
        <f t="shared" si="0"/>
        <v/>
      </c>
      <c r="AB1" s="7" t="str">
        <f t="shared" si="0"/>
        <v/>
      </c>
      <c r="AC1" s="7" t="str">
        <f t="shared" si="0"/>
        <v/>
      </c>
      <c r="AD1" s="7" t="str">
        <f t="shared" si="0"/>
        <v/>
      </c>
      <c r="AE1" s="7" t="str">
        <f t="shared" si="0"/>
        <v/>
      </c>
      <c r="AF1" s="7" t="str">
        <f t="shared" si="0"/>
        <v/>
      </c>
      <c r="AG1" s="7" t="str">
        <f t="shared" si="0"/>
        <v/>
      </c>
      <c r="AH1" s="7" t="str">
        <f t="shared" si="0"/>
        <v/>
      </c>
      <c r="AI1" s="7" t="str">
        <f t="shared" si="0"/>
        <v/>
      </c>
      <c r="AJ1" s="7" t="str">
        <f t="shared" si="0"/>
        <v/>
      </c>
      <c r="AK1" s="7" t="str">
        <f t="shared" si="0"/>
        <v/>
      </c>
      <c r="AL1" s="7" t="str">
        <f t="shared" si="0"/>
        <v/>
      </c>
      <c r="AM1" s="7" t="str">
        <f t="shared" si="0"/>
        <v/>
      </c>
      <c r="AN1" s="7" t="str">
        <f t="shared" si="0"/>
        <v/>
      </c>
      <c r="AO1" s="7" t="str">
        <f t="shared" si="0"/>
        <v/>
      </c>
      <c r="AP1" s="7" t="str">
        <f t="shared" si="0"/>
        <v/>
      </c>
      <c r="AQ1" s="7" t="str">
        <f t="shared" si="0"/>
        <v/>
      </c>
      <c r="AR1" s="7" t="str">
        <f t="shared" si="0"/>
        <v/>
      </c>
      <c r="AS1" s="7" t="str">
        <f t="shared" si="0"/>
        <v/>
      </c>
      <c r="AT1" s="7" t="str">
        <f t="shared" si="0"/>
        <v/>
      </c>
      <c r="AU1" s="7" t="str">
        <f t="shared" si="0"/>
        <v/>
      </c>
      <c r="AV1" s="7" t="str">
        <f t="shared" si="0"/>
        <v/>
      </c>
      <c r="AW1" s="7" t="str">
        <f t="shared" si="0"/>
        <v/>
      </c>
      <c r="AX1" s="7" t="str">
        <f t="shared" si="0"/>
        <v/>
      </c>
      <c r="AY1" s="7" t="str">
        <f t="shared" si="0"/>
        <v/>
      </c>
      <c r="AZ1" s="7" t="str">
        <f t="shared" si="0"/>
        <v/>
      </c>
      <c r="BA1" s="7" t="str">
        <f t="shared" si="0"/>
        <v/>
      </c>
      <c r="BB1" s="7" t="str">
        <f t="shared" si="0"/>
        <v/>
      </c>
      <c r="BC1" s="7" t="str">
        <f t="shared" si="0"/>
        <v/>
      </c>
      <c r="BD1" s="7" t="str">
        <f t="shared" si="0"/>
        <v/>
      </c>
      <c r="BE1" s="7" t="str">
        <f t="shared" si="0"/>
        <v/>
      </c>
      <c r="BF1" s="7" t="str">
        <f t="shared" si="0"/>
        <v/>
      </c>
      <c r="BG1" s="7" t="str">
        <f t="shared" si="0"/>
        <v/>
      </c>
      <c r="BH1" s="7" t="str">
        <f t="shared" si="0"/>
        <v/>
      </c>
      <c r="BI1" s="7" t="str">
        <f t="shared" si="0"/>
        <v/>
      </c>
      <c r="BJ1" s="7" t="str">
        <f t="shared" si="0"/>
        <v/>
      </c>
      <c r="BK1" s="7" t="str">
        <f t="shared" si="0"/>
        <v/>
      </c>
      <c r="BL1" s="7" t="str">
        <f t="shared" si="0"/>
        <v/>
      </c>
      <c r="BM1" s="7" t="str">
        <f t="shared" si="0"/>
        <v/>
      </c>
      <c r="BN1" s="7" t="str">
        <f t="shared" si="0"/>
        <v/>
      </c>
      <c r="BO1" s="7" t="str">
        <f t="shared" si="0"/>
        <v/>
      </c>
      <c r="BP1" s="7" t="str">
        <f t="shared" ref="BP1:EA1" si="1">IF(COUNTA(BO$2:BO$32768)&gt;0, "Asset " &amp; COLUMN(BO$1), "")</f>
        <v/>
      </c>
      <c r="BQ1" s="7" t="str">
        <f t="shared" si="1"/>
        <v/>
      </c>
      <c r="BR1" s="7" t="str">
        <f t="shared" si="1"/>
        <v/>
      </c>
      <c r="BS1" s="7" t="str">
        <f t="shared" si="1"/>
        <v/>
      </c>
      <c r="BT1" s="7" t="str">
        <f t="shared" si="1"/>
        <v/>
      </c>
      <c r="BU1" s="7" t="str">
        <f t="shared" si="1"/>
        <v/>
      </c>
      <c r="BV1" s="7" t="str">
        <f t="shared" si="1"/>
        <v/>
      </c>
      <c r="BW1" s="7" t="str">
        <f t="shared" si="1"/>
        <v/>
      </c>
      <c r="BX1" s="7" t="str">
        <f t="shared" si="1"/>
        <v/>
      </c>
      <c r="BY1" s="7" t="str">
        <f t="shared" si="1"/>
        <v/>
      </c>
      <c r="BZ1" s="7" t="str">
        <f t="shared" si="1"/>
        <v/>
      </c>
      <c r="CA1" s="7" t="str">
        <f t="shared" si="1"/>
        <v/>
      </c>
      <c r="CB1" s="7" t="str">
        <f t="shared" si="1"/>
        <v/>
      </c>
      <c r="CC1" s="7" t="str">
        <f t="shared" si="1"/>
        <v/>
      </c>
      <c r="CD1" s="7" t="str">
        <f t="shared" si="1"/>
        <v/>
      </c>
      <c r="CE1" s="7" t="str">
        <f t="shared" si="1"/>
        <v/>
      </c>
      <c r="CF1" s="7" t="str">
        <f t="shared" si="1"/>
        <v/>
      </c>
      <c r="CG1" s="7" t="str">
        <f t="shared" si="1"/>
        <v/>
      </c>
      <c r="CH1" s="7" t="str">
        <f t="shared" si="1"/>
        <v/>
      </c>
      <c r="CI1" s="7" t="str">
        <f t="shared" si="1"/>
        <v/>
      </c>
      <c r="CJ1" s="7" t="str">
        <f t="shared" si="1"/>
        <v/>
      </c>
      <c r="CK1" s="7" t="str">
        <f t="shared" si="1"/>
        <v/>
      </c>
      <c r="CL1" s="7" t="str">
        <f t="shared" si="1"/>
        <v/>
      </c>
      <c r="CM1" s="7" t="str">
        <f t="shared" si="1"/>
        <v/>
      </c>
      <c r="CN1" s="7" t="str">
        <f t="shared" si="1"/>
        <v/>
      </c>
      <c r="CO1" s="7" t="str">
        <f t="shared" si="1"/>
        <v/>
      </c>
      <c r="CP1" s="7" t="str">
        <f t="shared" si="1"/>
        <v/>
      </c>
      <c r="CQ1" s="7" t="str">
        <f t="shared" si="1"/>
        <v/>
      </c>
      <c r="CR1" s="7" t="str">
        <f t="shared" si="1"/>
        <v/>
      </c>
      <c r="CS1" s="7" t="str">
        <f t="shared" si="1"/>
        <v/>
      </c>
      <c r="CT1" s="7" t="str">
        <f t="shared" si="1"/>
        <v/>
      </c>
      <c r="CU1" s="7" t="str">
        <f t="shared" si="1"/>
        <v/>
      </c>
      <c r="CV1" s="7" t="str">
        <f t="shared" si="1"/>
        <v/>
      </c>
      <c r="CW1" s="7" t="str">
        <f t="shared" si="1"/>
        <v/>
      </c>
      <c r="CX1" s="7" t="str">
        <f t="shared" si="1"/>
        <v/>
      </c>
      <c r="CY1" s="7" t="str">
        <f t="shared" si="1"/>
        <v/>
      </c>
      <c r="CZ1" s="7" t="str">
        <f t="shared" si="1"/>
        <v/>
      </c>
      <c r="DA1" s="7" t="str">
        <f t="shared" si="1"/>
        <v/>
      </c>
      <c r="DB1" s="7" t="str">
        <f t="shared" si="1"/>
        <v/>
      </c>
      <c r="DC1" s="7" t="str">
        <f t="shared" si="1"/>
        <v/>
      </c>
      <c r="DD1" s="7" t="str">
        <f t="shared" si="1"/>
        <v/>
      </c>
      <c r="DE1" s="7" t="str">
        <f t="shared" si="1"/>
        <v/>
      </c>
      <c r="DF1" s="7" t="str">
        <f t="shared" si="1"/>
        <v/>
      </c>
      <c r="DG1" s="7" t="str">
        <f t="shared" si="1"/>
        <v/>
      </c>
      <c r="DH1" s="7" t="str">
        <f t="shared" si="1"/>
        <v/>
      </c>
      <c r="DI1" s="7" t="str">
        <f t="shared" si="1"/>
        <v/>
      </c>
      <c r="DJ1" s="7" t="str">
        <f t="shared" si="1"/>
        <v/>
      </c>
      <c r="DK1" s="7" t="str">
        <f t="shared" si="1"/>
        <v/>
      </c>
      <c r="DL1" s="7" t="str">
        <f t="shared" si="1"/>
        <v/>
      </c>
      <c r="DM1" s="7" t="str">
        <f t="shared" si="1"/>
        <v/>
      </c>
      <c r="DN1" s="7" t="str">
        <f t="shared" si="1"/>
        <v/>
      </c>
      <c r="DO1" s="7" t="str">
        <f t="shared" si="1"/>
        <v/>
      </c>
      <c r="DP1" s="7" t="str">
        <f t="shared" si="1"/>
        <v/>
      </c>
      <c r="DQ1" s="7" t="str">
        <f t="shared" si="1"/>
        <v/>
      </c>
      <c r="DR1" s="7" t="str">
        <f t="shared" si="1"/>
        <v/>
      </c>
      <c r="DS1" s="7" t="str">
        <f t="shared" si="1"/>
        <v/>
      </c>
      <c r="DT1" s="7" t="str">
        <f t="shared" si="1"/>
        <v/>
      </c>
      <c r="DU1" s="7" t="str">
        <f t="shared" si="1"/>
        <v/>
      </c>
      <c r="DV1" s="7" t="str">
        <f t="shared" si="1"/>
        <v/>
      </c>
      <c r="DW1" s="7" t="str">
        <f t="shared" si="1"/>
        <v/>
      </c>
      <c r="DX1" s="7" t="str">
        <f t="shared" si="1"/>
        <v/>
      </c>
      <c r="DY1" s="7" t="str">
        <f t="shared" si="1"/>
        <v/>
      </c>
      <c r="DZ1" s="7" t="str">
        <f t="shared" si="1"/>
        <v/>
      </c>
      <c r="EA1" s="7" t="str">
        <f t="shared" si="1"/>
        <v/>
      </c>
      <c r="EB1" s="7" t="str">
        <f t="shared" ref="EB1:GM1" si="2">IF(COUNTA(EA$2:EA$32768)&gt;0, "Asset " &amp; COLUMN(EA$1), "")</f>
        <v/>
      </c>
      <c r="EC1" s="7" t="str">
        <f t="shared" si="2"/>
        <v/>
      </c>
      <c r="ED1" s="7" t="str">
        <f t="shared" si="2"/>
        <v/>
      </c>
      <c r="EE1" s="7" t="str">
        <f t="shared" si="2"/>
        <v/>
      </c>
      <c r="EF1" s="7" t="str">
        <f t="shared" si="2"/>
        <v/>
      </c>
      <c r="EG1" s="7" t="str">
        <f t="shared" si="2"/>
        <v/>
      </c>
      <c r="EH1" s="7" t="str">
        <f t="shared" si="2"/>
        <v/>
      </c>
      <c r="EI1" s="7" t="str">
        <f t="shared" si="2"/>
        <v/>
      </c>
      <c r="EJ1" s="7" t="str">
        <f t="shared" si="2"/>
        <v/>
      </c>
      <c r="EK1" s="7" t="str">
        <f t="shared" si="2"/>
        <v/>
      </c>
      <c r="EL1" s="7" t="str">
        <f t="shared" si="2"/>
        <v/>
      </c>
      <c r="EM1" s="7" t="str">
        <f t="shared" si="2"/>
        <v/>
      </c>
      <c r="EN1" s="7" t="str">
        <f t="shared" si="2"/>
        <v/>
      </c>
      <c r="EO1" s="7" t="str">
        <f t="shared" si="2"/>
        <v/>
      </c>
      <c r="EP1" s="7" t="str">
        <f t="shared" si="2"/>
        <v/>
      </c>
      <c r="EQ1" s="7" t="str">
        <f t="shared" si="2"/>
        <v/>
      </c>
      <c r="ER1" s="7" t="str">
        <f t="shared" si="2"/>
        <v/>
      </c>
      <c r="ES1" s="7" t="str">
        <f t="shared" si="2"/>
        <v/>
      </c>
      <c r="ET1" s="7" t="str">
        <f t="shared" si="2"/>
        <v/>
      </c>
      <c r="EU1" s="7" t="str">
        <f t="shared" si="2"/>
        <v/>
      </c>
      <c r="EV1" s="7" t="str">
        <f t="shared" si="2"/>
        <v/>
      </c>
      <c r="EW1" s="7" t="str">
        <f t="shared" si="2"/>
        <v/>
      </c>
      <c r="EX1" s="7" t="str">
        <f t="shared" si="2"/>
        <v/>
      </c>
      <c r="EY1" s="7" t="str">
        <f t="shared" si="2"/>
        <v/>
      </c>
      <c r="EZ1" s="7" t="str">
        <f t="shared" si="2"/>
        <v/>
      </c>
      <c r="FA1" s="7" t="str">
        <f t="shared" si="2"/>
        <v/>
      </c>
      <c r="FB1" s="7" t="str">
        <f t="shared" si="2"/>
        <v/>
      </c>
      <c r="FC1" s="7" t="str">
        <f t="shared" si="2"/>
        <v/>
      </c>
      <c r="FD1" s="7" t="str">
        <f t="shared" si="2"/>
        <v/>
      </c>
      <c r="FE1" s="7" t="str">
        <f t="shared" si="2"/>
        <v/>
      </c>
      <c r="FF1" s="7" t="str">
        <f t="shared" si="2"/>
        <v/>
      </c>
      <c r="FG1" s="7" t="str">
        <f t="shared" si="2"/>
        <v/>
      </c>
      <c r="FH1" s="7" t="str">
        <f t="shared" si="2"/>
        <v/>
      </c>
      <c r="FI1" s="7" t="str">
        <f t="shared" si="2"/>
        <v/>
      </c>
      <c r="FJ1" s="7" t="str">
        <f t="shared" si="2"/>
        <v/>
      </c>
      <c r="FK1" s="7" t="str">
        <f t="shared" si="2"/>
        <v/>
      </c>
      <c r="FL1" s="7" t="str">
        <f t="shared" si="2"/>
        <v/>
      </c>
      <c r="FM1" s="7" t="str">
        <f t="shared" si="2"/>
        <v/>
      </c>
      <c r="FN1" s="7" t="str">
        <f t="shared" si="2"/>
        <v/>
      </c>
      <c r="FO1" s="7" t="str">
        <f t="shared" si="2"/>
        <v/>
      </c>
      <c r="FP1" s="7" t="str">
        <f t="shared" si="2"/>
        <v/>
      </c>
      <c r="FQ1" s="7" t="str">
        <f t="shared" si="2"/>
        <v/>
      </c>
      <c r="FR1" s="7" t="str">
        <f t="shared" si="2"/>
        <v/>
      </c>
      <c r="FS1" s="7" t="str">
        <f t="shared" si="2"/>
        <v/>
      </c>
      <c r="FT1" s="7" t="str">
        <f t="shared" si="2"/>
        <v/>
      </c>
      <c r="FU1" s="7" t="str">
        <f t="shared" si="2"/>
        <v/>
      </c>
      <c r="FV1" s="7" t="str">
        <f t="shared" si="2"/>
        <v/>
      </c>
      <c r="FW1" s="7" t="str">
        <f t="shared" si="2"/>
        <v/>
      </c>
      <c r="FX1" s="7" t="str">
        <f t="shared" si="2"/>
        <v/>
      </c>
      <c r="FY1" s="7" t="str">
        <f t="shared" si="2"/>
        <v/>
      </c>
      <c r="FZ1" s="7" t="str">
        <f t="shared" si="2"/>
        <v/>
      </c>
      <c r="GA1" s="7" t="str">
        <f t="shared" si="2"/>
        <v/>
      </c>
      <c r="GB1" s="7" t="str">
        <f t="shared" si="2"/>
        <v/>
      </c>
      <c r="GC1" s="7" t="str">
        <f t="shared" si="2"/>
        <v/>
      </c>
      <c r="GD1" s="7" t="str">
        <f t="shared" si="2"/>
        <v/>
      </c>
      <c r="GE1" s="7" t="str">
        <f t="shared" si="2"/>
        <v/>
      </c>
      <c r="GF1" s="7" t="str">
        <f t="shared" si="2"/>
        <v/>
      </c>
      <c r="GG1" s="7" t="str">
        <f t="shared" si="2"/>
        <v/>
      </c>
      <c r="GH1" s="7" t="str">
        <f t="shared" si="2"/>
        <v/>
      </c>
      <c r="GI1" s="7" t="str">
        <f t="shared" si="2"/>
        <v/>
      </c>
      <c r="GJ1" s="7" t="str">
        <f t="shared" si="2"/>
        <v/>
      </c>
      <c r="GK1" s="7" t="str">
        <f t="shared" si="2"/>
        <v/>
      </c>
      <c r="GL1" s="7" t="str">
        <f t="shared" si="2"/>
        <v/>
      </c>
      <c r="GM1" s="7" t="str">
        <f t="shared" si="2"/>
        <v/>
      </c>
      <c r="GN1" s="7" t="str">
        <f t="shared" ref="GN1:IY1" si="3">IF(COUNTA(GM$2:GM$32768)&gt;0, "Asset " &amp; COLUMN(GM$1), "")</f>
        <v/>
      </c>
      <c r="GO1" s="7" t="str">
        <f t="shared" si="3"/>
        <v/>
      </c>
      <c r="GP1" s="7" t="str">
        <f t="shared" si="3"/>
        <v/>
      </c>
      <c r="GQ1" s="7" t="str">
        <f t="shared" si="3"/>
        <v/>
      </c>
      <c r="GR1" s="7" t="str">
        <f t="shared" si="3"/>
        <v/>
      </c>
      <c r="GS1" s="7" t="str">
        <f t="shared" si="3"/>
        <v/>
      </c>
      <c r="GT1" s="7" t="str">
        <f t="shared" si="3"/>
        <v/>
      </c>
      <c r="GU1" s="7" t="str">
        <f t="shared" si="3"/>
        <v/>
      </c>
      <c r="GV1" s="7" t="str">
        <f t="shared" si="3"/>
        <v/>
      </c>
      <c r="GW1" s="7" t="str">
        <f t="shared" si="3"/>
        <v/>
      </c>
      <c r="GX1" s="7" t="str">
        <f t="shared" si="3"/>
        <v/>
      </c>
      <c r="GY1" s="7" t="str">
        <f t="shared" si="3"/>
        <v/>
      </c>
      <c r="GZ1" s="7" t="str">
        <f t="shared" si="3"/>
        <v/>
      </c>
      <c r="HA1" s="7" t="str">
        <f t="shared" si="3"/>
        <v/>
      </c>
      <c r="HB1" s="7" t="str">
        <f t="shared" si="3"/>
        <v/>
      </c>
      <c r="HC1" s="7" t="str">
        <f t="shared" si="3"/>
        <v/>
      </c>
      <c r="HD1" s="7" t="str">
        <f t="shared" si="3"/>
        <v/>
      </c>
      <c r="HE1" s="7" t="str">
        <f t="shared" si="3"/>
        <v/>
      </c>
      <c r="HF1" s="7" t="str">
        <f t="shared" si="3"/>
        <v/>
      </c>
      <c r="HG1" s="7" t="str">
        <f t="shared" si="3"/>
        <v/>
      </c>
      <c r="HH1" s="7" t="str">
        <f t="shared" si="3"/>
        <v/>
      </c>
      <c r="HI1" s="7" t="str">
        <f t="shared" si="3"/>
        <v/>
      </c>
      <c r="HJ1" s="7" t="str">
        <f t="shared" si="3"/>
        <v/>
      </c>
      <c r="HK1" s="7" t="str">
        <f t="shared" si="3"/>
        <v/>
      </c>
      <c r="HL1" s="7" t="str">
        <f t="shared" si="3"/>
        <v/>
      </c>
      <c r="HM1" s="7" t="str">
        <f t="shared" si="3"/>
        <v/>
      </c>
      <c r="HN1" s="7" t="str">
        <f t="shared" si="3"/>
        <v/>
      </c>
      <c r="HO1" s="7" t="str">
        <f t="shared" si="3"/>
        <v/>
      </c>
      <c r="HP1" s="7" t="str">
        <f t="shared" si="3"/>
        <v/>
      </c>
      <c r="HQ1" s="7" t="str">
        <f t="shared" si="3"/>
        <v/>
      </c>
      <c r="HR1" s="7" t="str">
        <f t="shared" si="3"/>
        <v/>
      </c>
      <c r="HS1" s="7" t="str">
        <f t="shared" si="3"/>
        <v/>
      </c>
      <c r="HT1" s="7" t="str">
        <f t="shared" si="3"/>
        <v/>
      </c>
      <c r="HU1" s="7" t="str">
        <f t="shared" si="3"/>
        <v/>
      </c>
      <c r="HV1" s="7" t="str">
        <f t="shared" si="3"/>
        <v/>
      </c>
      <c r="HW1" s="7" t="str">
        <f t="shared" si="3"/>
        <v/>
      </c>
      <c r="HX1" s="7" t="str">
        <f t="shared" si="3"/>
        <v/>
      </c>
      <c r="HY1" s="7" t="str">
        <f t="shared" si="3"/>
        <v/>
      </c>
      <c r="HZ1" s="7" t="str">
        <f t="shared" si="3"/>
        <v/>
      </c>
      <c r="IA1" s="7" t="str">
        <f t="shared" si="3"/>
        <v/>
      </c>
      <c r="IB1" s="7" t="str">
        <f t="shared" si="3"/>
        <v/>
      </c>
      <c r="IC1" s="7" t="str">
        <f t="shared" si="3"/>
        <v/>
      </c>
      <c r="ID1" s="7" t="str">
        <f t="shared" si="3"/>
        <v/>
      </c>
      <c r="IE1" s="7" t="str">
        <f t="shared" si="3"/>
        <v/>
      </c>
      <c r="IF1" s="7" t="str">
        <f t="shared" si="3"/>
        <v/>
      </c>
      <c r="IG1" s="7" t="str">
        <f t="shared" si="3"/>
        <v/>
      </c>
      <c r="IH1" s="7" t="str">
        <f t="shared" si="3"/>
        <v/>
      </c>
      <c r="II1" s="7" t="str">
        <f t="shared" si="3"/>
        <v/>
      </c>
      <c r="IJ1" s="7" t="str">
        <f t="shared" si="3"/>
        <v/>
      </c>
      <c r="IK1" s="7" t="str">
        <f t="shared" si="3"/>
        <v/>
      </c>
      <c r="IL1" s="7" t="str">
        <f t="shared" si="3"/>
        <v/>
      </c>
      <c r="IM1" s="7" t="str">
        <f t="shared" si="3"/>
        <v/>
      </c>
      <c r="IN1" s="7" t="str">
        <f t="shared" si="3"/>
        <v/>
      </c>
      <c r="IO1" s="7" t="str">
        <f t="shared" si="3"/>
        <v/>
      </c>
      <c r="IP1" s="7" t="str">
        <f t="shared" si="3"/>
        <v/>
      </c>
      <c r="IQ1" s="7" t="str">
        <f t="shared" si="3"/>
        <v/>
      </c>
      <c r="IR1" s="7" t="str">
        <f t="shared" si="3"/>
        <v/>
      </c>
      <c r="IS1" s="7" t="str">
        <f t="shared" si="3"/>
        <v/>
      </c>
      <c r="IT1" s="7" t="str">
        <f t="shared" si="3"/>
        <v/>
      </c>
      <c r="IU1" s="7" t="str">
        <f t="shared" si="3"/>
        <v/>
      </c>
      <c r="IV1" s="7" t="str">
        <f t="shared" si="3"/>
        <v/>
      </c>
      <c r="IW1" s="7" t="str">
        <f t="shared" si="3"/>
        <v/>
      </c>
      <c r="IX1" s="7" t="str">
        <f t="shared" si="3"/>
        <v/>
      </c>
      <c r="IY1" s="7" t="str">
        <f t="shared" si="3"/>
        <v/>
      </c>
      <c r="IZ1" s="7" t="str">
        <f t="shared" ref="IZ1:LK1" si="4">IF(COUNTA(IY$2:IY$32768)&gt;0, "Asset " &amp; COLUMN(IY$1), "")</f>
        <v/>
      </c>
      <c r="JA1" s="7" t="str">
        <f t="shared" si="4"/>
        <v/>
      </c>
      <c r="JB1" s="7" t="str">
        <f t="shared" si="4"/>
        <v/>
      </c>
      <c r="JC1" s="7" t="str">
        <f t="shared" si="4"/>
        <v/>
      </c>
      <c r="JD1" s="7" t="str">
        <f t="shared" si="4"/>
        <v/>
      </c>
      <c r="JE1" s="7" t="str">
        <f t="shared" si="4"/>
        <v/>
      </c>
      <c r="JF1" s="7" t="str">
        <f t="shared" si="4"/>
        <v/>
      </c>
      <c r="JG1" s="7" t="str">
        <f t="shared" si="4"/>
        <v/>
      </c>
      <c r="JH1" s="7" t="str">
        <f t="shared" si="4"/>
        <v/>
      </c>
      <c r="JI1" s="7" t="str">
        <f t="shared" si="4"/>
        <v/>
      </c>
      <c r="JJ1" s="7" t="str">
        <f t="shared" si="4"/>
        <v/>
      </c>
      <c r="JK1" s="7" t="str">
        <f t="shared" si="4"/>
        <v/>
      </c>
      <c r="JL1" s="7" t="str">
        <f t="shared" si="4"/>
        <v/>
      </c>
      <c r="JM1" s="7" t="str">
        <f t="shared" si="4"/>
        <v/>
      </c>
      <c r="JN1" s="7" t="str">
        <f t="shared" si="4"/>
        <v/>
      </c>
      <c r="JO1" s="7" t="str">
        <f t="shared" si="4"/>
        <v/>
      </c>
      <c r="JP1" s="7" t="str">
        <f t="shared" si="4"/>
        <v/>
      </c>
      <c r="JQ1" s="7" t="str">
        <f t="shared" si="4"/>
        <v/>
      </c>
      <c r="JR1" s="7" t="str">
        <f t="shared" si="4"/>
        <v/>
      </c>
      <c r="JS1" s="7" t="str">
        <f t="shared" si="4"/>
        <v/>
      </c>
      <c r="JT1" s="7" t="str">
        <f t="shared" si="4"/>
        <v/>
      </c>
      <c r="JU1" s="7" t="str">
        <f t="shared" si="4"/>
        <v/>
      </c>
      <c r="JV1" s="7" t="str">
        <f t="shared" si="4"/>
        <v/>
      </c>
      <c r="JW1" s="7" t="str">
        <f t="shared" si="4"/>
        <v/>
      </c>
      <c r="JX1" s="7" t="str">
        <f t="shared" si="4"/>
        <v/>
      </c>
      <c r="JY1" s="7" t="str">
        <f t="shared" si="4"/>
        <v/>
      </c>
      <c r="JZ1" s="7" t="str">
        <f t="shared" si="4"/>
        <v/>
      </c>
      <c r="KA1" s="7" t="str">
        <f t="shared" si="4"/>
        <v/>
      </c>
      <c r="KB1" s="7" t="str">
        <f t="shared" si="4"/>
        <v/>
      </c>
      <c r="KC1" s="7" t="str">
        <f t="shared" si="4"/>
        <v/>
      </c>
      <c r="KD1" s="7" t="str">
        <f t="shared" si="4"/>
        <v/>
      </c>
      <c r="KE1" s="7" t="str">
        <f t="shared" si="4"/>
        <v/>
      </c>
      <c r="KF1" s="7" t="str">
        <f t="shared" si="4"/>
        <v/>
      </c>
      <c r="KG1" s="7" t="str">
        <f t="shared" si="4"/>
        <v/>
      </c>
      <c r="KH1" s="7" t="str">
        <f t="shared" si="4"/>
        <v/>
      </c>
      <c r="KI1" s="7" t="str">
        <f t="shared" si="4"/>
        <v/>
      </c>
      <c r="KJ1" s="7" t="str">
        <f t="shared" si="4"/>
        <v/>
      </c>
      <c r="KK1" s="7" t="str">
        <f t="shared" si="4"/>
        <v/>
      </c>
      <c r="KL1" s="7" t="str">
        <f t="shared" si="4"/>
        <v/>
      </c>
      <c r="KM1" s="7" t="str">
        <f t="shared" si="4"/>
        <v/>
      </c>
      <c r="KN1" s="7" t="str">
        <f t="shared" si="4"/>
        <v/>
      </c>
      <c r="KO1" s="7" t="str">
        <f t="shared" si="4"/>
        <v/>
      </c>
      <c r="KP1" s="7" t="str">
        <f t="shared" si="4"/>
        <v/>
      </c>
      <c r="KQ1" s="7" t="str">
        <f t="shared" si="4"/>
        <v/>
      </c>
      <c r="KR1" s="7" t="str">
        <f t="shared" si="4"/>
        <v/>
      </c>
      <c r="KS1" s="7" t="str">
        <f t="shared" si="4"/>
        <v/>
      </c>
      <c r="KT1" s="7" t="str">
        <f t="shared" si="4"/>
        <v/>
      </c>
      <c r="KU1" s="7" t="str">
        <f t="shared" si="4"/>
        <v/>
      </c>
      <c r="KV1" s="7" t="str">
        <f t="shared" si="4"/>
        <v/>
      </c>
      <c r="KW1" s="7" t="str">
        <f t="shared" si="4"/>
        <v/>
      </c>
      <c r="KX1" s="7" t="str">
        <f t="shared" si="4"/>
        <v/>
      </c>
      <c r="KY1" s="7" t="str">
        <f t="shared" si="4"/>
        <v/>
      </c>
      <c r="KZ1" s="7" t="str">
        <f t="shared" si="4"/>
        <v/>
      </c>
      <c r="LA1" s="7" t="str">
        <f t="shared" si="4"/>
        <v/>
      </c>
      <c r="LB1" s="7" t="str">
        <f t="shared" si="4"/>
        <v/>
      </c>
      <c r="LC1" s="7" t="str">
        <f t="shared" si="4"/>
        <v/>
      </c>
      <c r="LD1" s="7" t="str">
        <f t="shared" si="4"/>
        <v/>
      </c>
      <c r="LE1" s="7" t="str">
        <f t="shared" si="4"/>
        <v/>
      </c>
      <c r="LF1" s="7" t="str">
        <f t="shared" si="4"/>
        <v/>
      </c>
      <c r="LG1" s="7" t="str">
        <f t="shared" si="4"/>
        <v/>
      </c>
      <c r="LH1" s="7" t="str">
        <f t="shared" si="4"/>
        <v/>
      </c>
      <c r="LI1" s="7" t="str">
        <f t="shared" si="4"/>
        <v/>
      </c>
      <c r="LJ1" s="7" t="str">
        <f t="shared" si="4"/>
        <v/>
      </c>
      <c r="LK1" s="7" t="str">
        <f t="shared" si="4"/>
        <v/>
      </c>
      <c r="LL1" s="7" t="str">
        <f t="shared" ref="LL1:NW1" si="5">IF(COUNTA(LK$2:LK$32768)&gt;0, "Asset " &amp; COLUMN(LK$1), "")</f>
        <v/>
      </c>
      <c r="LM1" s="7" t="str">
        <f t="shared" si="5"/>
        <v/>
      </c>
      <c r="LN1" s="7" t="str">
        <f t="shared" si="5"/>
        <v/>
      </c>
      <c r="LO1" s="7" t="str">
        <f t="shared" si="5"/>
        <v/>
      </c>
      <c r="LP1" s="7" t="str">
        <f t="shared" si="5"/>
        <v/>
      </c>
      <c r="LQ1" s="7" t="str">
        <f t="shared" si="5"/>
        <v/>
      </c>
      <c r="LR1" s="7" t="str">
        <f t="shared" si="5"/>
        <v/>
      </c>
      <c r="LS1" s="7" t="str">
        <f t="shared" si="5"/>
        <v/>
      </c>
      <c r="LT1" s="7" t="str">
        <f t="shared" si="5"/>
        <v/>
      </c>
      <c r="LU1" s="7" t="str">
        <f t="shared" si="5"/>
        <v/>
      </c>
      <c r="LV1" s="7" t="str">
        <f t="shared" si="5"/>
        <v/>
      </c>
      <c r="LW1" s="7" t="str">
        <f t="shared" si="5"/>
        <v/>
      </c>
      <c r="LX1" s="7" t="str">
        <f t="shared" si="5"/>
        <v/>
      </c>
      <c r="LY1" s="7" t="str">
        <f t="shared" si="5"/>
        <v/>
      </c>
      <c r="LZ1" s="7" t="str">
        <f t="shared" si="5"/>
        <v/>
      </c>
      <c r="MA1" s="7" t="str">
        <f t="shared" si="5"/>
        <v/>
      </c>
      <c r="MB1" s="7" t="str">
        <f t="shared" si="5"/>
        <v/>
      </c>
      <c r="MC1" s="7" t="str">
        <f t="shared" si="5"/>
        <v/>
      </c>
      <c r="MD1" s="7" t="str">
        <f t="shared" si="5"/>
        <v/>
      </c>
      <c r="ME1" s="7" t="str">
        <f t="shared" si="5"/>
        <v/>
      </c>
      <c r="MF1" s="7" t="str">
        <f t="shared" si="5"/>
        <v/>
      </c>
      <c r="MG1" s="7" t="str">
        <f t="shared" si="5"/>
        <v/>
      </c>
      <c r="MH1" s="7" t="str">
        <f t="shared" si="5"/>
        <v/>
      </c>
      <c r="MI1" s="7" t="str">
        <f t="shared" si="5"/>
        <v/>
      </c>
      <c r="MJ1" s="7" t="str">
        <f t="shared" si="5"/>
        <v/>
      </c>
      <c r="MK1" s="7" t="str">
        <f t="shared" si="5"/>
        <v/>
      </c>
      <c r="ML1" s="7" t="str">
        <f t="shared" si="5"/>
        <v/>
      </c>
      <c r="MM1" s="7" t="str">
        <f t="shared" si="5"/>
        <v/>
      </c>
      <c r="MN1" s="7" t="str">
        <f t="shared" si="5"/>
        <v/>
      </c>
      <c r="MO1" s="7" t="str">
        <f t="shared" si="5"/>
        <v/>
      </c>
      <c r="MP1" s="7" t="str">
        <f t="shared" si="5"/>
        <v/>
      </c>
      <c r="MQ1" s="7" t="str">
        <f t="shared" si="5"/>
        <v/>
      </c>
      <c r="MR1" s="7" t="str">
        <f t="shared" si="5"/>
        <v/>
      </c>
      <c r="MS1" s="7" t="str">
        <f t="shared" si="5"/>
        <v/>
      </c>
      <c r="MT1" s="7" t="str">
        <f t="shared" si="5"/>
        <v/>
      </c>
      <c r="MU1" s="7" t="str">
        <f t="shared" si="5"/>
        <v/>
      </c>
      <c r="MV1" s="7" t="str">
        <f t="shared" si="5"/>
        <v/>
      </c>
      <c r="MW1" s="7" t="str">
        <f t="shared" si="5"/>
        <v/>
      </c>
      <c r="MX1" s="7" t="str">
        <f t="shared" si="5"/>
        <v/>
      </c>
      <c r="MY1" s="7" t="str">
        <f t="shared" si="5"/>
        <v/>
      </c>
      <c r="MZ1" s="7" t="str">
        <f t="shared" si="5"/>
        <v/>
      </c>
      <c r="NA1" s="7" t="str">
        <f t="shared" si="5"/>
        <v/>
      </c>
      <c r="NB1" s="7" t="str">
        <f t="shared" si="5"/>
        <v/>
      </c>
      <c r="NC1" s="7" t="str">
        <f t="shared" si="5"/>
        <v/>
      </c>
      <c r="ND1" s="7" t="str">
        <f t="shared" si="5"/>
        <v/>
      </c>
      <c r="NE1" s="7" t="str">
        <f t="shared" si="5"/>
        <v/>
      </c>
      <c r="NF1" s="7" t="str">
        <f t="shared" si="5"/>
        <v/>
      </c>
      <c r="NG1" s="7" t="str">
        <f t="shared" si="5"/>
        <v/>
      </c>
      <c r="NH1" s="7" t="str">
        <f t="shared" si="5"/>
        <v/>
      </c>
      <c r="NI1" s="7" t="str">
        <f t="shared" si="5"/>
        <v/>
      </c>
      <c r="NJ1" s="7" t="str">
        <f t="shared" si="5"/>
        <v/>
      </c>
      <c r="NK1" s="7" t="str">
        <f t="shared" si="5"/>
        <v/>
      </c>
      <c r="NL1" s="7" t="str">
        <f t="shared" si="5"/>
        <v/>
      </c>
      <c r="NM1" s="7" t="str">
        <f t="shared" si="5"/>
        <v/>
      </c>
      <c r="NN1" s="7" t="str">
        <f t="shared" si="5"/>
        <v/>
      </c>
      <c r="NO1" s="7" t="str">
        <f t="shared" si="5"/>
        <v/>
      </c>
      <c r="NP1" s="7" t="str">
        <f t="shared" si="5"/>
        <v/>
      </c>
      <c r="NQ1" s="7" t="str">
        <f t="shared" si="5"/>
        <v/>
      </c>
      <c r="NR1" s="7" t="str">
        <f t="shared" si="5"/>
        <v/>
      </c>
      <c r="NS1" s="7" t="str">
        <f t="shared" si="5"/>
        <v/>
      </c>
      <c r="NT1" s="7" t="str">
        <f t="shared" si="5"/>
        <v/>
      </c>
      <c r="NU1" s="7" t="str">
        <f t="shared" si="5"/>
        <v/>
      </c>
      <c r="NV1" s="7" t="str">
        <f t="shared" si="5"/>
        <v/>
      </c>
      <c r="NW1" s="7" t="str">
        <f t="shared" si="5"/>
        <v/>
      </c>
      <c r="NX1" s="7" t="str">
        <f t="shared" ref="NX1:QI1" si="6">IF(COUNTA(NW$2:NW$32768)&gt;0, "Asset " &amp; COLUMN(NW$1), "")</f>
        <v/>
      </c>
      <c r="NY1" s="7" t="str">
        <f t="shared" si="6"/>
        <v/>
      </c>
      <c r="NZ1" s="7" t="str">
        <f t="shared" si="6"/>
        <v/>
      </c>
      <c r="OA1" s="7" t="str">
        <f t="shared" si="6"/>
        <v/>
      </c>
      <c r="OB1" s="7" t="str">
        <f t="shared" si="6"/>
        <v/>
      </c>
      <c r="OC1" s="7" t="str">
        <f t="shared" si="6"/>
        <v/>
      </c>
      <c r="OD1" s="7" t="str">
        <f t="shared" si="6"/>
        <v/>
      </c>
      <c r="OE1" s="7" t="str">
        <f t="shared" si="6"/>
        <v/>
      </c>
      <c r="OF1" s="7" t="str">
        <f t="shared" si="6"/>
        <v/>
      </c>
      <c r="OG1" s="7" t="str">
        <f t="shared" si="6"/>
        <v/>
      </c>
      <c r="OH1" s="7" t="str">
        <f t="shared" si="6"/>
        <v/>
      </c>
      <c r="OI1" s="7" t="str">
        <f t="shared" si="6"/>
        <v/>
      </c>
      <c r="OJ1" s="7" t="str">
        <f t="shared" si="6"/>
        <v/>
      </c>
      <c r="OK1" s="7" t="str">
        <f t="shared" si="6"/>
        <v/>
      </c>
      <c r="OL1" s="7" t="str">
        <f t="shared" si="6"/>
        <v/>
      </c>
      <c r="OM1" s="7" t="str">
        <f t="shared" si="6"/>
        <v/>
      </c>
      <c r="ON1" s="7" t="str">
        <f t="shared" si="6"/>
        <v/>
      </c>
      <c r="OO1" s="7" t="str">
        <f t="shared" si="6"/>
        <v/>
      </c>
      <c r="OP1" s="7" t="str">
        <f t="shared" si="6"/>
        <v/>
      </c>
      <c r="OQ1" s="7" t="str">
        <f t="shared" si="6"/>
        <v/>
      </c>
      <c r="OR1" s="7" t="str">
        <f t="shared" si="6"/>
        <v/>
      </c>
      <c r="OS1" s="7" t="str">
        <f t="shared" si="6"/>
        <v/>
      </c>
      <c r="OT1" s="7" t="str">
        <f t="shared" si="6"/>
        <v/>
      </c>
      <c r="OU1" s="7" t="str">
        <f t="shared" si="6"/>
        <v/>
      </c>
      <c r="OV1" s="7" t="str">
        <f t="shared" si="6"/>
        <v/>
      </c>
      <c r="OW1" s="7" t="str">
        <f t="shared" si="6"/>
        <v/>
      </c>
      <c r="OX1" s="7" t="str">
        <f t="shared" si="6"/>
        <v/>
      </c>
      <c r="OY1" s="7" t="str">
        <f t="shared" si="6"/>
        <v/>
      </c>
      <c r="OZ1" s="7" t="str">
        <f t="shared" si="6"/>
        <v/>
      </c>
      <c r="PA1" s="7" t="str">
        <f t="shared" si="6"/>
        <v/>
      </c>
      <c r="PB1" s="7" t="str">
        <f t="shared" si="6"/>
        <v/>
      </c>
      <c r="PC1" s="7" t="str">
        <f t="shared" si="6"/>
        <v/>
      </c>
      <c r="PD1" s="7" t="str">
        <f t="shared" si="6"/>
        <v/>
      </c>
      <c r="PE1" s="7" t="str">
        <f t="shared" si="6"/>
        <v/>
      </c>
      <c r="PF1" s="7" t="str">
        <f t="shared" si="6"/>
        <v/>
      </c>
      <c r="PG1" s="7" t="str">
        <f t="shared" si="6"/>
        <v/>
      </c>
      <c r="PH1" s="7" t="str">
        <f t="shared" si="6"/>
        <v/>
      </c>
      <c r="PI1" s="7" t="str">
        <f t="shared" si="6"/>
        <v/>
      </c>
      <c r="PJ1" s="7" t="str">
        <f t="shared" si="6"/>
        <v/>
      </c>
      <c r="PK1" s="7" t="str">
        <f t="shared" si="6"/>
        <v/>
      </c>
      <c r="PL1" s="7" t="str">
        <f t="shared" si="6"/>
        <v/>
      </c>
      <c r="PM1" s="7" t="str">
        <f t="shared" si="6"/>
        <v/>
      </c>
      <c r="PN1" s="7" t="str">
        <f t="shared" si="6"/>
        <v/>
      </c>
      <c r="PO1" s="7" t="str">
        <f t="shared" si="6"/>
        <v/>
      </c>
      <c r="PP1" s="7" t="str">
        <f t="shared" si="6"/>
        <v/>
      </c>
      <c r="PQ1" s="7" t="str">
        <f t="shared" si="6"/>
        <v/>
      </c>
      <c r="PR1" s="7" t="str">
        <f t="shared" si="6"/>
        <v/>
      </c>
      <c r="PS1" s="7" t="str">
        <f t="shared" si="6"/>
        <v/>
      </c>
      <c r="PT1" s="7" t="str">
        <f t="shared" si="6"/>
        <v/>
      </c>
      <c r="PU1" s="7" t="str">
        <f t="shared" si="6"/>
        <v/>
      </c>
      <c r="PV1" s="7" t="str">
        <f t="shared" si="6"/>
        <v/>
      </c>
      <c r="PW1" s="7" t="str">
        <f t="shared" si="6"/>
        <v/>
      </c>
      <c r="PX1" s="7" t="str">
        <f t="shared" si="6"/>
        <v/>
      </c>
      <c r="PY1" s="7" t="str">
        <f t="shared" si="6"/>
        <v/>
      </c>
      <c r="PZ1" s="7" t="str">
        <f t="shared" si="6"/>
        <v/>
      </c>
      <c r="QA1" s="7" t="str">
        <f t="shared" si="6"/>
        <v/>
      </c>
      <c r="QB1" s="7" t="str">
        <f t="shared" si="6"/>
        <v/>
      </c>
      <c r="QC1" s="7" t="str">
        <f t="shared" si="6"/>
        <v/>
      </c>
      <c r="QD1" s="7" t="str">
        <f t="shared" si="6"/>
        <v/>
      </c>
      <c r="QE1" s="7" t="str">
        <f t="shared" si="6"/>
        <v/>
      </c>
      <c r="QF1" s="7" t="str">
        <f t="shared" si="6"/>
        <v/>
      </c>
      <c r="QG1" s="7" t="str">
        <f t="shared" si="6"/>
        <v/>
      </c>
      <c r="QH1" s="7" t="str">
        <f t="shared" si="6"/>
        <v/>
      </c>
      <c r="QI1" s="7" t="str">
        <f t="shared" si="6"/>
        <v/>
      </c>
      <c r="QJ1" s="7" t="str">
        <f t="shared" ref="QJ1:SU1" si="7">IF(COUNTA(QI$2:QI$32768)&gt;0, "Asset " &amp; COLUMN(QI$1), "")</f>
        <v/>
      </c>
      <c r="QK1" s="7" t="str">
        <f t="shared" si="7"/>
        <v/>
      </c>
      <c r="QL1" s="7" t="str">
        <f t="shared" si="7"/>
        <v/>
      </c>
      <c r="QM1" s="7" t="str">
        <f t="shared" si="7"/>
        <v/>
      </c>
      <c r="QN1" s="7" t="str">
        <f t="shared" si="7"/>
        <v/>
      </c>
      <c r="QO1" s="7" t="str">
        <f t="shared" si="7"/>
        <v/>
      </c>
      <c r="QP1" s="7" t="str">
        <f t="shared" si="7"/>
        <v/>
      </c>
      <c r="QQ1" s="7" t="str">
        <f t="shared" si="7"/>
        <v/>
      </c>
      <c r="QR1" s="7" t="str">
        <f t="shared" si="7"/>
        <v/>
      </c>
      <c r="QS1" s="7" t="str">
        <f t="shared" si="7"/>
        <v/>
      </c>
      <c r="QT1" s="7" t="str">
        <f t="shared" si="7"/>
        <v/>
      </c>
      <c r="QU1" s="7" t="str">
        <f t="shared" si="7"/>
        <v/>
      </c>
      <c r="QV1" s="7" t="str">
        <f t="shared" si="7"/>
        <v/>
      </c>
      <c r="QW1" s="7" t="str">
        <f t="shared" si="7"/>
        <v/>
      </c>
      <c r="QX1" s="7" t="str">
        <f t="shared" si="7"/>
        <v/>
      </c>
      <c r="QY1" s="7" t="str">
        <f t="shared" si="7"/>
        <v/>
      </c>
      <c r="QZ1" s="7" t="str">
        <f t="shared" si="7"/>
        <v/>
      </c>
      <c r="RA1" s="7" t="str">
        <f t="shared" si="7"/>
        <v/>
      </c>
      <c r="RB1" s="7" t="str">
        <f t="shared" si="7"/>
        <v/>
      </c>
      <c r="RC1" s="7" t="str">
        <f t="shared" si="7"/>
        <v/>
      </c>
      <c r="RD1" s="7" t="str">
        <f t="shared" si="7"/>
        <v/>
      </c>
      <c r="RE1" s="7" t="str">
        <f t="shared" si="7"/>
        <v/>
      </c>
      <c r="RF1" s="7" t="str">
        <f t="shared" si="7"/>
        <v/>
      </c>
      <c r="RG1" s="7" t="str">
        <f t="shared" si="7"/>
        <v/>
      </c>
      <c r="RH1" s="7" t="str">
        <f t="shared" si="7"/>
        <v/>
      </c>
      <c r="RI1" s="7" t="str">
        <f t="shared" si="7"/>
        <v/>
      </c>
      <c r="RJ1" s="7" t="str">
        <f t="shared" si="7"/>
        <v/>
      </c>
      <c r="RK1" s="7" t="str">
        <f t="shared" si="7"/>
        <v/>
      </c>
      <c r="RL1" s="7" t="str">
        <f t="shared" si="7"/>
        <v/>
      </c>
      <c r="RM1" s="7" t="str">
        <f t="shared" si="7"/>
        <v/>
      </c>
      <c r="RN1" s="7" t="str">
        <f t="shared" si="7"/>
        <v/>
      </c>
      <c r="RO1" s="7" t="str">
        <f t="shared" si="7"/>
        <v/>
      </c>
      <c r="RP1" s="7" t="str">
        <f t="shared" si="7"/>
        <v/>
      </c>
      <c r="RQ1" s="7" t="str">
        <f t="shared" si="7"/>
        <v/>
      </c>
      <c r="RR1" s="7" t="str">
        <f t="shared" si="7"/>
        <v/>
      </c>
      <c r="RS1" s="7" t="str">
        <f t="shared" si="7"/>
        <v/>
      </c>
      <c r="RT1" s="7" t="str">
        <f t="shared" si="7"/>
        <v/>
      </c>
      <c r="RU1" s="7" t="str">
        <f t="shared" si="7"/>
        <v/>
      </c>
      <c r="RV1" s="7" t="str">
        <f t="shared" si="7"/>
        <v/>
      </c>
      <c r="RW1" s="7" t="str">
        <f t="shared" si="7"/>
        <v/>
      </c>
      <c r="RX1" s="7" t="str">
        <f t="shared" si="7"/>
        <v/>
      </c>
      <c r="RY1" s="7" t="str">
        <f t="shared" si="7"/>
        <v/>
      </c>
      <c r="RZ1" s="7" t="str">
        <f t="shared" si="7"/>
        <v/>
      </c>
      <c r="SA1" s="7" t="str">
        <f t="shared" si="7"/>
        <v/>
      </c>
      <c r="SB1" s="7" t="str">
        <f t="shared" si="7"/>
        <v/>
      </c>
      <c r="SC1" s="7" t="str">
        <f t="shared" si="7"/>
        <v/>
      </c>
      <c r="SD1" s="7" t="str">
        <f t="shared" si="7"/>
        <v/>
      </c>
      <c r="SE1" s="7" t="str">
        <f t="shared" si="7"/>
        <v/>
      </c>
      <c r="SF1" s="7" t="str">
        <f t="shared" si="7"/>
        <v/>
      </c>
      <c r="SG1" s="7" t="str">
        <f t="shared" si="7"/>
        <v/>
      </c>
      <c r="SH1" s="7" t="str">
        <f t="shared" si="7"/>
        <v/>
      </c>
      <c r="SI1" s="7" t="str">
        <f t="shared" si="7"/>
        <v/>
      </c>
      <c r="SJ1" s="7" t="str">
        <f t="shared" si="7"/>
        <v/>
      </c>
      <c r="SK1" s="7" t="str">
        <f t="shared" si="7"/>
        <v/>
      </c>
      <c r="SL1" s="7" t="str">
        <f t="shared" si="7"/>
        <v/>
      </c>
      <c r="SM1" s="7" t="str">
        <f t="shared" si="7"/>
        <v/>
      </c>
      <c r="SN1" s="7" t="str">
        <f t="shared" si="7"/>
        <v/>
      </c>
      <c r="SO1" s="7" t="str">
        <f t="shared" si="7"/>
        <v/>
      </c>
      <c r="SP1" s="7" t="str">
        <f t="shared" si="7"/>
        <v/>
      </c>
      <c r="SQ1" s="7" t="str">
        <f t="shared" si="7"/>
        <v/>
      </c>
      <c r="SR1" s="7" t="str">
        <f t="shared" si="7"/>
        <v/>
      </c>
      <c r="SS1" s="7" t="str">
        <f t="shared" si="7"/>
        <v/>
      </c>
      <c r="ST1" s="7" t="str">
        <f t="shared" si="7"/>
        <v/>
      </c>
      <c r="SU1" s="7" t="str">
        <f t="shared" si="7"/>
        <v/>
      </c>
      <c r="SV1" s="7" t="str">
        <f t="shared" ref="SV1:VG1" si="8">IF(COUNTA(SU$2:SU$32768)&gt;0, "Asset " &amp; COLUMN(SU$1), "")</f>
        <v/>
      </c>
      <c r="SW1" s="7" t="str">
        <f t="shared" si="8"/>
        <v/>
      </c>
      <c r="SX1" s="7" t="str">
        <f t="shared" si="8"/>
        <v/>
      </c>
      <c r="SY1" s="7" t="str">
        <f t="shared" si="8"/>
        <v/>
      </c>
      <c r="SZ1" s="7" t="str">
        <f t="shared" si="8"/>
        <v/>
      </c>
      <c r="TA1" s="7" t="str">
        <f t="shared" si="8"/>
        <v/>
      </c>
      <c r="TB1" s="7" t="str">
        <f t="shared" si="8"/>
        <v/>
      </c>
      <c r="TC1" s="7" t="str">
        <f t="shared" si="8"/>
        <v/>
      </c>
      <c r="TD1" s="7" t="str">
        <f t="shared" si="8"/>
        <v/>
      </c>
      <c r="TE1" s="7" t="str">
        <f t="shared" si="8"/>
        <v/>
      </c>
      <c r="TF1" s="7" t="str">
        <f t="shared" si="8"/>
        <v/>
      </c>
      <c r="TG1" s="7" t="str">
        <f t="shared" si="8"/>
        <v/>
      </c>
      <c r="TH1" s="7" t="str">
        <f t="shared" si="8"/>
        <v/>
      </c>
      <c r="TI1" s="7" t="str">
        <f t="shared" si="8"/>
        <v/>
      </c>
      <c r="TJ1" s="7" t="str">
        <f t="shared" si="8"/>
        <v/>
      </c>
      <c r="TK1" s="7" t="str">
        <f t="shared" si="8"/>
        <v/>
      </c>
      <c r="TL1" s="7" t="str">
        <f t="shared" si="8"/>
        <v/>
      </c>
      <c r="TM1" s="7" t="str">
        <f t="shared" si="8"/>
        <v/>
      </c>
      <c r="TN1" s="7" t="str">
        <f t="shared" si="8"/>
        <v/>
      </c>
      <c r="TO1" s="7" t="str">
        <f t="shared" si="8"/>
        <v/>
      </c>
      <c r="TP1" s="7" t="str">
        <f t="shared" si="8"/>
        <v/>
      </c>
      <c r="TQ1" s="7" t="str">
        <f t="shared" si="8"/>
        <v/>
      </c>
      <c r="TR1" s="7" t="str">
        <f t="shared" si="8"/>
        <v/>
      </c>
      <c r="TS1" s="7" t="str">
        <f t="shared" si="8"/>
        <v/>
      </c>
      <c r="TT1" s="7" t="str">
        <f t="shared" si="8"/>
        <v/>
      </c>
      <c r="TU1" s="7" t="str">
        <f t="shared" si="8"/>
        <v/>
      </c>
      <c r="TV1" s="7" t="str">
        <f t="shared" si="8"/>
        <v/>
      </c>
      <c r="TW1" s="7" t="str">
        <f t="shared" si="8"/>
        <v/>
      </c>
      <c r="TX1" s="7" t="str">
        <f t="shared" si="8"/>
        <v/>
      </c>
      <c r="TY1" s="7" t="str">
        <f t="shared" si="8"/>
        <v/>
      </c>
      <c r="TZ1" s="7" t="str">
        <f t="shared" si="8"/>
        <v/>
      </c>
      <c r="UA1" s="7" t="str">
        <f t="shared" si="8"/>
        <v/>
      </c>
      <c r="UB1" s="7" t="str">
        <f t="shared" si="8"/>
        <v/>
      </c>
      <c r="UC1" s="7" t="str">
        <f t="shared" si="8"/>
        <v/>
      </c>
      <c r="UD1" s="7" t="str">
        <f t="shared" si="8"/>
        <v/>
      </c>
      <c r="UE1" s="7" t="str">
        <f t="shared" si="8"/>
        <v/>
      </c>
      <c r="UF1" s="7" t="str">
        <f t="shared" si="8"/>
        <v/>
      </c>
      <c r="UG1" s="7" t="str">
        <f t="shared" si="8"/>
        <v/>
      </c>
      <c r="UH1" s="7" t="str">
        <f t="shared" si="8"/>
        <v/>
      </c>
      <c r="UI1" s="7" t="str">
        <f t="shared" si="8"/>
        <v/>
      </c>
      <c r="UJ1" s="7" t="str">
        <f t="shared" si="8"/>
        <v/>
      </c>
      <c r="UK1" s="7" t="str">
        <f t="shared" si="8"/>
        <v/>
      </c>
      <c r="UL1" s="7" t="str">
        <f t="shared" si="8"/>
        <v/>
      </c>
      <c r="UM1" s="7" t="str">
        <f t="shared" si="8"/>
        <v/>
      </c>
      <c r="UN1" s="7" t="str">
        <f t="shared" si="8"/>
        <v/>
      </c>
      <c r="UO1" s="7" t="str">
        <f t="shared" si="8"/>
        <v/>
      </c>
      <c r="UP1" s="7" t="str">
        <f t="shared" si="8"/>
        <v/>
      </c>
      <c r="UQ1" s="7" t="str">
        <f t="shared" si="8"/>
        <v/>
      </c>
      <c r="UR1" s="7" t="str">
        <f t="shared" si="8"/>
        <v/>
      </c>
      <c r="US1" s="7" t="str">
        <f t="shared" si="8"/>
        <v/>
      </c>
      <c r="UT1" s="7" t="str">
        <f t="shared" si="8"/>
        <v/>
      </c>
      <c r="UU1" s="7" t="str">
        <f t="shared" si="8"/>
        <v/>
      </c>
      <c r="UV1" s="7" t="str">
        <f t="shared" si="8"/>
        <v/>
      </c>
      <c r="UW1" s="7" t="str">
        <f t="shared" si="8"/>
        <v/>
      </c>
      <c r="UX1" s="7" t="str">
        <f t="shared" si="8"/>
        <v/>
      </c>
      <c r="UY1" s="7" t="str">
        <f t="shared" si="8"/>
        <v/>
      </c>
      <c r="UZ1" s="7" t="str">
        <f t="shared" si="8"/>
        <v/>
      </c>
      <c r="VA1" s="7" t="str">
        <f t="shared" si="8"/>
        <v/>
      </c>
      <c r="VB1" s="7" t="str">
        <f t="shared" si="8"/>
        <v/>
      </c>
      <c r="VC1" s="7" t="str">
        <f t="shared" si="8"/>
        <v/>
      </c>
      <c r="VD1" s="7" t="str">
        <f t="shared" si="8"/>
        <v/>
      </c>
      <c r="VE1" s="7" t="str">
        <f t="shared" si="8"/>
        <v/>
      </c>
      <c r="VF1" s="7" t="str">
        <f t="shared" si="8"/>
        <v/>
      </c>
      <c r="VG1" s="7" t="str">
        <f t="shared" si="8"/>
        <v/>
      </c>
      <c r="VH1" s="7" t="str">
        <f t="shared" ref="VH1:XS1" si="9">IF(COUNTA(VG$2:VG$32768)&gt;0, "Asset " &amp; COLUMN(VG$1), "")</f>
        <v/>
      </c>
      <c r="VI1" s="7" t="str">
        <f t="shared" si="9"/>
        <v/>
      </c>
      <c r="VJ1" s="7" t="str">
        <f t="shared" si="9"/>
        <v/>
      </c>
      <c r="VK1" s="7" t="str">
        <f t="shared" si="9"/>
        <v/>
      </c>
      <c r="VL1" s="7" t="str">
        <f t="shared" si="9"/>
        <v/>
      </c>
      <c r="VM1" s="7" t="str">
        <f t="shared" si="9"/>
        <v/>
      </c>
      <c r="VN1" s="7" t="str">
        <f t="shared" si="9"/>
        <v/>
      </c>
      <c r="VO1" s="7" t="str">
        <f t="shared" si="9"/>
        <v/>
      </c>
      <c r="VP1" s="7" t="str">
        <f t="shared" si="9"/>
        <v/>
      </c>
      <c r="VQ1" s="7" t="str">
        <f t="shared" si="9"/>
        <v/>
      </c>
      <c r="VR1" s="7" t="str">
        <f t="shared" si="9"/>
        <v/>
      </c>
      <c r="VS1" s="7" t="str">
        <f t="shared" si="9"/>
        <v/>
      </c>
      <c r="VT1" s="7" t="str">
        <f t="shared" si="9"/>
        <v/>
      </c>
      <c r="VU1" s="7" t="str">
        <f t="shared" si="9"/>
        <v/>
      </c>
      <c r="VV1" s="7" t="str">
        <f t="shared" si="9"/>
        <v/>
      </c>
      <c r="VW1" s="7" t="str">
        <f t="shared" si="9"/>
        <v/>
      </c>
      <c r="VX1" s="7" t="str">
        <f t="shared" si="9"/>
        <v/>
      </c>
      <c r="VY1" s="7" t="str">
        <f t="shared" si="9"/>
        <v/>
      </c>
      <c r="VZ1" s="7" t="str">
        <f t="shared" si="9"/>
        <v/>
      </c>
      <c r="WA1" s="7" t="str">
        <f t="shared" si="9"/>
        <v/>
      </c>
      <c r="WB1" s="7" t="str">
        <f t="shared" si="9"/>
        <v/>
      </c>
      <c r="WC1" s="7" t="str">
        <f t="shared" si="9"/>
        <v/>
      </c>
      <c r="WD1" s="7" t="str">
        <f t="shared" si="9"/>
        <v/>
      </c>
      <c r="WE1" s="7" t="str">
        <f t="shared" si="9"/>
        <v/>
      </c>
      <c r="WF1" s="7" t="str">
        <f t="shared" si="9"/>
        <v/>
      </c>
      <c r="WG1" s="7" t="str">
        <f t="shared" si="9"/>
        <v/>
      </c>
      <c r="WH1" s="7" t="str">
        <f t="shared" si="9"/>
        <v/>
      </c>
      <c r="WI1" s="7" t="str">
        <f t="shared" si="9"/>
        <v/>
      </c>
      <c r="WJ1" s="7" t="str">
        <f t="shared" si="9"/>
        <v/>
      </c>
      <c r="WK1" s="7" t="str">
        <f t="shared" si="9"/>
        <v/>
      </c>
      <c r="WL1" s="7" t="str">
        <f t="shared" si="9"/>
        <v/>
      </c>
      <c r="WM1" s="7" t="str">
        <f t="shared" si="9"/>
        <v/>
      </c>
      <c r="WN1" s="7" t="str">
        <f t="shared" si="9"/>
        <v/>
      </c>
      <c r="WO1" s="7" t="str">
        <f t="shared" si="9"/>
        <v/>
      </c>
      <c r="WP1" s="7" t="str">
        <f t="shared" si="9"/>
        <v/>
      </c>
      <c r="WQ1" s="7" t="str">
        <f t="shared" si="9"/>
        <v/>
      </c>
      <c r="WR1" s="7" t="str">
        <f t="shared" si="9"/>
        <v/>
      </c>
      <c r="WS1" s="7" t="str">
        <f t="shared" si="9"/>
        <v/>
      </c>
      <c r="WT1" s="7" t="str">
        <f t="shared" si="9"/>
        <v/>
      </c>
      <c r="WU1" s="7" t="str">
        <f t="shared" si="9"/>
        <v/>
      </c>
      <c r="WV1" s="7" t="str">
        <f t="shared" si="9"/>
        <v/>
      </c>
      <c r="WW1" s="7" t="str">
        <f t="shared" si="9"/>
        <v/>
      </c>
      <c r="WX1" s="7" t="str">
        <f t="shared" si="9"/>
        <v/>
      </c>
      <c r="WY1" s="7" t="str">
        <f t="shared" si="9"/>
        <v/>
      </c>
      <c r="WZ1" s="7" t="str">
        <f t="shared" si="9"/>
        <v/>
      </c>
      <c r="XA1" s="7" t="str">
        <f t="shared" si="9"/>
        <v/>
      </c>
      <c r="XB1" s="7" t="str">
        <f t="shared" si="9"/>
        <v/>
      </c>
      <c r="XC1" s="7" t="str">
        <f t="shared" si="9"/>
        <v/>
      </c>
      <c r="XD1" s="7" t="str">
        <f t="shared" si="9"/>
        <v/>
      </c>
      <c r="XE1" s="7" t="str">
        <f t="shared" si="9"/>
        <v/>
      </c>
      <c r="XF1" s="7" t="str">
        <f t="shared" si="9"/>
        <v/>
      </c>
      <c r="XG1" s="7" t="str">
        <f t="shared" si="9"/>
        <v/>
      </c>
      <c r="XH1" s="7" t="str">
        <f t="shared" si="9"/>
        <v/>
      </c>
      <c r="XI1" s="7" t="str">
        <f t="shared" si="9"/>
        <v/>
      </c>
      <c r="XJ1" s="7" t="str">
        <f t="shared" si="9"/>
        <v/>
      </c>
      <c r="XK1" s="7" t="str">
        <f t="shared" si="9"/>
        <v/>
      </c>
      <c r="XL1" s="7" t="str">
        <f t="shared" si="9"/>
        <v/>
      </c>
      <c r="XM1" s="7" t="str">
        <f t="shared" si="9"/>
        <v/>
      </c>
      <c r="XN1" s="7" t="str">
        <f t="shared" si="9"/>
        <v/>
      </c>
      <c r="XO1" s="7" t="str">
        <f t="shared" si="9"/>
        <v/>
      </c>
      <c r="XP1" s="7" t="str">
        <f t="shared" si="9"/>
        <v/>
      </c>
      <c r="XQ1" s="7" t="str">
        <f t="shared" si="9"/>
        <v/>
      </c>
      <c r="XR1" s="7" t="str">
        <f t="shared" si="9"/>
        <v/>
      </c>
      <c r="XS1" s="7" t="str">
        <f t="shared" si="9"/>
        <v/>
      </c>
      <c r="XT1" s="7" t="str">
        <f t="shared" ref="XT1:AAE1" si="10">IF(COUNTA(XS$2:XS$32768)&gt;0, "Asset " &amp; COLUMN(XS$1), "")</f>
        <v/>
      </c>
      <c r="XU1" s="7" t="str">
        <f t="shared" si="10"/>
        <v/>
      </c>
      <c r="XV1" s="7" t="str">
        <f t="shared" si="10"/>
        <v/>
      </c>
      <c r="XW1" s="7" t="str">
        <f t="shared" si="10"/>
        <v/>
      </c>
      <c r="XX1" s="7" t="str">
        <f t="shared" si="10"/>
        <v/>
      </c>
      <c r="XY1" s="7" t="str">
        <f t="shared" si="10"/>
        <v/>
      </c>
      <c r="XZ1" s="7" t="str">
        <f t="shared" si="10"/>
        <v/>
      </c>
      <c r="YA1" s="7" t="str">
        <f t="shared" si="10"/>
        <v/>
      </c>
      <c r="YB1" s="7" t="str">
        <f t="shared" si="10"/>
        <v/>
      </c>
      <c r="YC1" s="7" t="str">
        <f t="shared" si="10"/>
        <v/>
      </c>
      <c r="YD1" s="7" t="str">
        <f t="shared" si="10"/>
        <v/>
      </c>
      <c r="YE1" s="7" t="str">
        <f t="shared" si="10"/>
        <v/>
      </c>
      <c r="YF1" s="7" t="str">
        <f t="shared" si="10"/>
        <v/>
      </c>
      <c r="YG1" s="7" t="str">
        <f t="shared" si="10"/>
        <v/>
      </c>
      <c r="YH1" s="7" t="str">
        <f t="shared" si="10"/>
        <v/>
      </c>
      <c r="YI1" s="7" t="str">
        <f t="shared" si="10"/>
        <v/>
      </c>
      <c r="YJ1" s="7" t="str">
        <f t="shared" si="10"/>
        <v/>
      </c>
      <c r="YK1" s="7" t="str">
        <f t="shared" si="10"/>
        <v/>
      </c>
      <c r="YL1" s="7" t="str">
        <f t="shared" si="10"/>
        <v/>
      </c>
      <c r="YM1" s="7" t="str">
        <f t="shared" si="10"/>
        <v/>
      </c>
      <c r="YN1" s="7" t="str">
        <f t="shared" si="10"/>
        <v/>
      </c>
      <c r="YO1" s="7" t="str">
        <f t="shared" si="10"/>
        <v/>
      </c>
      <c r="YP1" s="7" t="str">
        <f t="shared" si="10"/>
        <v/>
      </c>
      <c r="YQ1" s="7" t="str">
        <f t="shared" si="10"/>
        <v/>
      </c>
      <c r="YR1" s="7" t="str">
        <f t="shared" si="10"/>
        <v/>
      </c>
      <c r="YS1" s="7" t="str">
        <f t="shared" si="10"/>
        <v/>
      </c>
      <c r="YT1" s="7" t="str">
        <f t="shared" si="10"/>
        <v/>
      </c>
      <c r="YU1" s="7" t="str">
        <f t="shared" si="10"/>
        <v/>
      </c>
      <c r="YV1" s="7" t="str">
        <f t="shared" si="10"/>
        <v/>
      </c>
      <c r="YW1" s="7" t="str">
        <f t="shared" si="10"/>
        <v/>
      </c>
      <c r="YX1" s="7" t="str">
        <f t="shared" si="10"/>
        <v/>
      </c>
      <c r="YY1" s="7" t="str">
        <f t="shared" si="10"/>
        <v/>
      </c>
      <c r="YZ1" s="7" t="str">
        <f t="shared" si="10"/>
        <v/>
      </c>
      <c r="ZA1" s="7" t="str">
        <f t="shared" si="10"/>
        <v/>
      </c>
      <c r="ZB1" s="7" t="str">
        <f t="shared" si="10"/>
        <v/>
      </c>
      <c r="ZC1" s="7" t="str">
        <f t="shared" si="10"/>
        <v/>
      </c>
      <c r="ZD1" s="7" t="str">
        <f t="shared" si="10"/>
        <v/>
      </c>
      <c r="ZE1" s="7" t="str">
        <f t="shared" si="10"/>
        <v/>
      </c>
      <c r="ZF1" s="7" t="str">
        <f t="shared" si="10"/>
        <v/>
      </c>
      <c r="ZG1" s="7" t="str">
        <f t="shared" si="10"/>
        <v/>
      </c>
      <c r="ZH1" s="7" t="str">
        <f t="shared" si="10"/>
        <v/>
      </c>
      <c r="ZI1" s="7" t="str">
        <f t="shared" si="10"/>
        <v/>
      </c>
      <c r="ZJ1" s="7" t="str">
        <f t="shared" si="10"/>
        <v/>
      </c>
      <c r="ZK1" s="7" t="str">
        <f t="shared" si="10"/>
        <v/>
      </c>
      <c r="ZL1" s="7" t="str">
        <f t="shared" si="10"/>
        <v/>
      </c>
      <c r="ZM1" s="7" t="str">
        <f t="shared" si="10"/>
        <v/>
      </c>
      <c r="ZN1" s="7" t="str">
        <f t="shared" si="10"/>
        <v/>
      </c>
      <c r="ZO1" s="7" t="str">
        <f t="shared" si="10"/>
        <v/>
      </c>
      <c r="ZP1" s="7" t="str">
        <f t="shared" si="10"/>
        <v/>
      </c>
      <c r="ZQ1" s="7" t="str">
        <f t="shared" si="10"/>
        <v/>
      </c>
      <c r="ZR1" s="7" t="str">
        <f t="shared" si="10"/>
        <v/>
      </c>
      <c r="ZS1" s="7" t="str">
        <f t="shared" si="10"/>
        <v/>
      </c>
      <c r="ZT1" s="7" t="str">
        <f t="shared" si="10"/>
        <v/>
      </c>
      <c r="ZU1" s="7" t="str">
        <f t="shared" si="10"/>
        <v/>
      </c>
      <c r="ZV1" s="7" t="str">
        <f t="shared" si="10"/>
        <v/>
      </c>
      <c r="ZW1" s="7" t="str">
        <f t="shared" si="10"/>
        <v/>
      </c>
      <c r="ZX1" s="7" t="str">
        <f t="shared" si="10"/>
        <v/>
      </c>
      <c r="ZY1" s="7" t="str">
        <f t="shared" si="10"/>
        <v/>
      </c>
      <c r="ZZ1" s="7" t="str">
        <f t="shared" si="10"/>
        <v/>
      </c>
      <c r="AAA1" s="7" t="str">
        <f t="shared" si="10"/>
        <v/>
      </c>
      <c r="AAB1" s="7" t="str">
        <f t="shared" si="10"/>
        <v/>
      </c>
      <c r="AAC1" s="7" t="str">
        <f t="shared" si="10"/>
        <v/>
      </c>
      <c r="AAD1" s="7" t="str">
        <f t="shared" si="10"/>
        <v/>
      </c>
      <c r="AAE1" s="7" t="str">
        <f t="shared" si="10"/>
        <v/>
      </c>
      <c r="AAF1" s="7" t="str">
        <f t="shared" ref="AAF1:ACQ1" si="11">IF(COUNTA(AAE$2:AAE$32768)&gt;0, "Asset " &amp; COLUMN(AAE$1), "")</f>
        <v/>
      </c>
      <c r="AAG1" s="7" t="str">
        <f t="shared" si="11"/>
        <v/>
      </c>
      <c r="AAH1" s="7" t="str">
        <f t="shared" si="11"/>
        <v/>
      </c>
      <c r="AAI1" s="7" t="str">
        <f t="shared" si="11"/>
        <v/>
      </c>
      <c r="AAJ1" s="7" t="str">
        <f t="shared" si="11"/>
        <v/>
      </c>
      <c r="AAK1" s="7" t="str">
        <f t="shared" si="11"/>
        <v/>
      </c>
      <c r="AAL1" s="7" t="str">
        <f t="shared" si="11"/>
        <v/>
      </c>
      <c r="AAM1" s="7" t="str">
        <f t="shared" si="11"/>
        <v/>
      </c>
      <c r="AAN1" s="7" t="str">
        <f t="shared" si="11"/>
        <v/>
      </c>
      <c r="AAO1" s="7" t="str">
        <f t="shared" si="11"/>
        <v/>
      </c>
      <c r="AAP1" s="7" t="str">
        <f t="shared" si="11"/>
        <v/>
      </c>
      <c r="AAQ1" s="7" t="str">
        <f t="shared" si="11"/>
        <v/>
      </c>
      <c r="AAR1" s="7" t="str">
        <f t="shared" si="11"/>
        <v/>
      </c>
      <c r="AAS1" s="7" t="str">
        <f t="shared" si="11"/>
        <v/>
      </c>
      <c r="AAT1" s="7" t="str">
        <f t="shared" si="11"/>
        <v/>
      </c>
      <c r="AAU1" s="7" t="str">
        <f t="shared" si="11"/>
        <v/>
      </c>
      <c r="AAV1" s="7" t="str">
        <f t="shared" si="11"/>
        <v/>
      </c>
      <c r="AAW1" s="7" t="str">
        <f t="shared" si="11"/>
        <v/>
      </c>
      <c r="AAX1" s="7" t="str">
        <f t="shared" si="11"/>
        <v/>
      </c>
      <c r="AAY1" s="7" t="str">
        <f t="shared" si="11"/>
        <v/>
      </c>
      <c r="AAZ1" s="7" t="str">
        <f t="shared" si="11"/>
        <v/>
      </c>
      <c r="ABA1" s="7" t="str">
        <f t="shared" si="11"/>
        <v/>
      </c>
      <c r="ABB1" s="7" t="str">
        <f t="shared" si="11"/>
        <v/>
      </c>
      <c r="ABC1" s="7" t="str">
        <f t="shared" si="11"/>
        <v/>
      </c>
      <c r="ABD1" s="7" t="str">
        <f t="shared" si="11"/>
        <v/>
      </c>
      <c r="ABE1" s="7" t="str">
        <f t="shared" si="11"/>
        <v/>
      </c>
      <c r="ABF1" s="7" t="str">
        <f t="shared" si="11"/>
        <v/>
      </c>
      <c r="ABG1" s="7" t="str">
        <f t="shared" si="11"/>
        <v/>
      </c>
      <c r="ABH1" s="7" t="str">
        <f t="shared" si="11"/>
        <v/>
      </c>
      <c r="ABI1" s="7" t="str">
        <f t="shared" si="11"/>
        <v/>
      </c>
      <c r="ABJ1" s="7" t="str">
        <f t="shared" si="11"/>
        <v/>
      </c>
      <c r="ABK1" s="7" t="str">
        <f t="shared" si="11"/>
        <v/>
      </c>
      <c r="ABL1" s="7" t="str">
        <f t="shared" si="11"/>
        <v/>
      </c>
      <c r="ABM1" s="7" t="str">
        <f t="shared" si="11"/>
        <v/>
      </c>
      <c r="ABN1" s="7" t="str">
        <f t="shared" si="11"/>
        <v/>
      </c>
      <c r="ABO1" s="7" t="str">
        <f t="shared" si="11"/>
        <v/>
      </c>
      <c r="ABP1" s="7" t="str">
        <f t="shared" si="11"/>
        <v/>
      </c>
      <c r="ABQ1" s="7" t="str">
        <f t="shared" si="11"/>
        <v/>
      </c>
      <c r="ABR1" s="7" t="str">
        <f t="shared" si="11"/>
        <v/>
      </c>
      <c r="ABS1" s="7" t="str">
        <f t="shared" si="11"/>
        <v/>
      </c>
      <c r="ABT1" s="7" t="str">
        <f t="shared" si="11"/>
        <v/>
      </c>
      <c r="ABU1" s="7" t="str">
        <f t="shared" si="11"/>
        <v/>
      </c>
      <c r="ABV1" s="7" t="str">
        <f t="shared" si="11"/>
        <v/>
      </c>
      <c r="ABW1" s="7" t="str">
        <f t="shared" si="11"/>
        <v/>
      </c>
      <c r="ABX1" s="7" t="str">
        <f t="shared" si="11"/>
        <v/>
      </c>
      <c r="ABY1" s="7" t="str">
        <f t="shared" si="11"/>
        <v/>
      </c>
      <c r="ABZ1" s="7" t="str">
        <f t="shared" si="11"/>
        <v/>
      </c>
      <c r="ACA1" s="7" t="str">
        <f t="shared" si="11"/>
        <v/>
      </c>
      <c r="ACB1" s="7" t="str">
        <f t="shared" si="11"/>
        <v/>
      </c>
      <c r="ACC1" s="7" t="str">
        <f t="shared" si="11"/>
        <v/>
      </c>
      <c r="ACD1" s="7" t="str">
        <f t="shared" si="11"/>
        <v/>
      </c>
      <c r="ACE1" s="7" t="str">
        <f t="shared" si="11"/>
        <v/>
      </c>
      <c r="ACF1" s="7" t="str">
        <f t="shared" si="11"/>
        <v/>
      </c>
      <c r="ACG1" s="7" t="str">
        <f t="shared" si="11"/>
        <v/>
      </c>
      <c r="ACH1" s="7" t="str">
        <f t="shared" si="11"/>
        <v/>
      </c>
      <c r="ACI1" s="7" t="str">
        <f t="shared" si="11"/>
        <v/>
      </c>
      <c r="ACJ1" s="7" t="str">
        <f t="shared" si="11"/>
        <v/>
      </c>
      <c r="ACK1" s="7" t="str">
        <f t="shared" si="11"/>
        <v/>
      </c>
      <c r="ACL1" s="7" t="str">
        <f t="shared" si="11"/>
        <v/>
      </c>
      <c r="ACM1" s="7" t="str">
        <f t="shared" si="11"/>
        <v/>
      </c>
      <c r="ACN1" s="7" t="str">
        <f t="shared" si="11"/>
        <v/>
      </c>
      <c r="ACO1" s="7" t="str">
        <f t="shared" si="11"/>
        <v/>
      </c>
      <c r="ACP1" s="7" t="str">
        <f t="shared" si="11"/>
        <v/>
      </c>
      <c r="ACQ1" s="7" t="str">
        <f t="shared" si="11"/>
        <v/>
      </c>
      <c r="ACR1" s="7" t="str">
        <f t="shared" ref="ACR1:AFC1" si="12">IF(COUNTA(ACQ$2:ACQ$32768)&gt;0, "Asset " &amp; COLUMN(ACQ$1), "")</f>
        <v/>
      </c>
      <c r="ACS1" s="7" t="str">
        <f t="shared" si="12"/>
        <v/>
      </c>
      <c r="ACT1" s="7" t="str">
        <f t="shared" si="12"/>
        <v/>
      </c>
      <c r="ACU1" s="7" t="str">
        <f t="shared" si="12"/>
        <v/>
      </c>
      <c r="ACV1" s="7" t="str">
        <f t="shared" si="12"/>
        <v/>
      </c>
      <c r="ACW1" s="7" t="str">
        <f t="shared" si="12"/>
        <v/>
      </c>
      <c r="ACX1" s="7" t="str">
        <f t="shared" si="12"/>
        <v/>
      </c>
      <c r="ACY1" s="7" t="str">
        <f t="shared" si="12"/>
        <v/>
      </c>
      <c r="ACZ1" s="7" t="str">
        <f t="shared" si="12"/>
        <v/>
      </c>
      <c r="ADA1" s="7" t="str">
        <f t="shared" si="12"/>
        <v/>
      </c>
      <c r="ADB1" s="7" t="str">
        <f t="shared" si="12"/>
        <v/>
      </c>
      <c r="ADC1" s="7" t="str">
        <f t="shared" si="12"/>
        <v/>
      </c>
      <c r="ADD1" s="7" t="str">
        <f t="shared" si="12"/>
        <v/>
      </c>
      <c r="ADE1" s="7" t="str">
        <f t="shared" si="12"/>
        <v/>
      </c>
      <c r="ADF1" s="7" t="str">
        <f t="shared" si="12"/>
        <v/>
      </c>
      <c r="ADG1" s="7" t="str">
        <f t="shared" si="12"/>
        <v/>
      </c>
      <c r="ADH1" s="7" t="str">
        <f t="shared" si="12"/>
        <v/>
      </c>
      <c r="ADI1" s="7" t="str">
        <f t="shared" si="12"/>
        <v/>
      </c>
      <c r="ADJ1" s="7" t="str">
        <f t="shared" si="12"/>
        <v/>
      </c>
      <c r="ADK1" s="7" t="str">
        <f t="shared" si="12"/>
        <v/>
      </c>
      <c r="ADL1" s="7" t="str">
        <f t="shared" si="12"/>
        <v/>
      </c>
      <c r="ADM1" s="7" t="str">
        <f t="shared" si="12"/>
        <v/>
      </c>
      <c r="ADN1" s="7" t="str">
        <f t="shared" si="12"/>
        <v/>
      </c>
      <c r="ADO1" s="7" t="str">
        <f t="shared" si="12"/>
        <v/>
      </c>
      <c r="ADP1" s="7" t="str">
        <f t="shared" si="12"/>
        <v/>
      </c>
      <c r="ADQ1" s="7" t="str">
        <f t="shared" si="12"/>
        <v/>
      </c>
      <c r="ADR1" s="7" t="str">
        <f t="shared" si="12"/>
        <v/>
      </c>
      <c r="ADS1" s="7" t="str">
        <f t="shared" si="12"/>
        <v/>
      </c>
      <c r="ADT1" s="7" t="str">
        <f t="shared" si="12"/>
        <v/>
      </c>
      <c r="ADU1" s="7" t="str">
        <f t="shared" si="12"/>
        <v/>
      </c>
      <c r="ADV1" s="7" t="str">
        <f t="shared" si="12"/>
        <v/>
      </c>
      <c r="ADW1" s="7" t="str">
        <f t="shared" si="12"/>
        <v/>
      </c>
      <c r="ADX1" s="7" t="str">
        <f t="shared" si="12"/>
        <v/>
      </c>
      <c r="ADY1" s="7" t="str">
        <f t="shared" si="12"/>
        <v/>
      </c>
      <c r="ADZ1" s="7" t="str">
        <f t="shared" si="12"/>
        <v/>
      </c>
      <c r="AEA1" s="7" t="str">
        <f t="shared" si="12"/>
        <v/>
      </c>
      <c r="AEB1" s="7" t="str">
        <f t="shared" si="12"/>
        <v/>
      </c>
      <c r="AEC1" s="7" t="str">
        <f t="shared" si="12"/>
        <v/>
      </c>
      <c r="AED1" s="7" t="str">
        <f t="shared" si="12"/>
        <v/>
      </c>
      <c r="AEE1" s="7" t="str">
        <f t="shared" si="12"/>
        <v/>
      </c>
      <c r="AEF1" s="7" t="str">
        <f t="shared" si="12"/>
        <v/>
      </c>
      <c r="AEG1" s="7" t="str">
        <f t="shared" si="12"/>
        <v/>
      </c>
      <c r="AEH1" s="7" t="str">
        <f t="shared" si="12"/>
        <v/>
      </c>
      <c r="AEI1" s="7" t="str">
        <f t="shared" si="12"/>
        <v/>
      </c>
      <c r="AEJ1" s="7" t="str">
        <f t="shared" si="12"/>
        <v/>
      </c>
      <c r="AEK1" s="7" t="str">
        <f t="shared" si="12"/>
        <v/>
      </c>
      <c r="AEL1" s="7" t="str">
        <f t="shared" si="12"/>
        <v/>
      </c>
      <c r="AEM1" s="7" t="str">
        <f t="shared" si="12"/>
        <v/>
      </c>
      <c r="AEN1" s="7" t="str">
        <f t="shared" si="12"/>
        <v/>
      </c>
      <c r="AEO1" s="7" t="str">
        <f t="shared" si="12"/>
        <v/>
      </c>
      <c r="AEP1" s="7" t="str">
        <f t="shared" si="12"/>
        <v/>
      </c>
      <c r="AEQ1" s="7" t="str">
        <f t="shared" si="12"/>
        <v/>
      </c>
      <c r="AER1" s="7" t="str">
        <f t="shared" si="12"/>
        <v/>
      </c>
      <c r="AES1" s="7" t="str">
        <f t="shared" si="12"/>
        <v/>
      </c>
      <c r="AET1" s="7" t="str">
        <f t="shared" si="12"/>
        <v/>
      </c>
      <c r="AEU1" s="7" t="str">
        <f t="shared" si="12"/>
        <v/>
      </c>
      <c r="AEV1" s="7" t="str">
        <f t="shared" si="12"/>
        <v/>
      </c>
      <c r="AEW1" s="7" t="str">
        <f t="shared" si="12"/>
        <v/>
      </c>
      <c r="AEX1" s="7" t="str">
        <f t="shared" si="12"/>
        <v/>
      </c>
      <c r="AEY1" s="7" t="str">
        <f t="shared" si="12"/>
        <v/>
      </c>
      <c r="AEZ1" s="7" t="str">
        <f t="shared" si="12"/>
        <v/>
      </c>
      <c r="AFA1" s="7" t="str">
        <f t="shared" si="12"/>
        <v/>
      </c>
      <c r="AFB1" s="7" t="str">
        <f t="shared" si="12"/>
        <v/>
      </c>
      <c r="AFC1" s="7" t="str">
        <f t="shared" si="12"/>
        <v/>
      </c>
      <c r="AFD1" s="7" t="str">
        <f t="shared" ref="AFD1:AHO1" si="13">IF(COUNTA(AFC$2:AFC$32768)&gt;0, "Asset " &amp; COLUMN(AFC$1), "")</f>
        <v/>
      </c>
      <c r="AFE1" s="7" t="str">
        <f t="shared" si="13"/>
        <v/>
      </c>
      <c r="AFF1" s="7" t="str">
        <f t="shared" si="13"/>
        <v/>
      </c>
      <c r="AFG1" s="7" t="str">
        <f t="shared" si="13"/>
        <v/>
      </c>
      <c r="AFH1" s="7" t="str">
        <f t="shared" si="13"/>
        <v/>
      </c>
      <c r="AFI1" s="7" t="str">
        <f t="shared" si="13"/>
        <v/>
      </c>
      <c r="AFJ1" s="7" t="str">
        <f t="shared" si="13"/>
        <v/>
      </c>
      <c r="AFK1" s="7" t="str">
        <f t="shared" si="13"/>
        <v/>
      </c>
      <c r="AFL1" s="7" t="str">
        <f t="shared" si="13"/>
        <v/>
      </c>
      <c r="AFM1" s="7" t="str">
        <f t="shared" si="13"/>
        <v/>
      </c>
      <c r="AFN1" s="7" t="str">
        <f t="shared" si="13"/>
        <v/>
      </c>
      <c r="AFO1" s="7" t="str">
        <f t="shared" si="13"/>
        <v/>
      </c>
      <c r="AFP1" s="7" t="str">
        <f t="shared" si="13"/>
        <v/>
      </c>
      <c r="AFQ1" s="7" t="str">
        <f t="shared" si="13"/>
        <v/>
      </c>
      <c r="AFR1" s="7" t="str">
        <f t="shared" si="13"/>
        <v/>
      </c>
      <c r="AFS1" s="7" t="str">
        <f t="shared" si="13"/>
        <v/>
      </c>
      <c r="AFT1" s="7" t="str">
        <f t="shared" si="13"/>
        <v/>
      </c>
      <c r="AFU1" s="7" t="str">
        <f t="shared" si="13"/>
        <v/>
      </c>
      <c r="AFV1" s="7" t="str">
        <f t="shared" si="13"/>
        <v/>
      </c>
      <c r="AFW1" s="7" t="str">
        <f t="shared" si="13"/>
        <v/>
      </c>
      <c r="AFX1" s="7" t="str">
        <f t="shared" si="13"/>
        <v/>
      </c>
      <c r="AFY1" s="7" t="str">
        <f t="shared" si="13"/>
        <v/>
      </c>
      <c r="AFZ1" s="7" t="str">
        <f t="shared" si="13"/>
        <v/>
      </c>
      <c r="AGA1" s="7" t="str">
        <f t="shared" si="13"/>
        <v/>
      </c>
      <c r="AGB1" s="7" t="str">
        <f t="shared" si="13"/>
        <v/>
      </c>
      <c r="AGC1" s="7" t="str">
        <f t="shared" si="13"/>
        <v/>
      </c>
      <c r="AGD1" s="7" t="str">
        <f t="shared" si="13"/>
        <v/>
      </c>
      <c r="AGE1" s="7" t="str">
        <f t="shared" si="13"/>
        <v/>
      </c>
      <c r="AGF1" s="7" t="str">
        <f t="shared" si="13"/>
        <v/>
      </c>
      <c r="AGG1" s="7" t="str">
        <f t="shared" si="13"/>
        <v/>
      </c>
      <c r="AGH1" s="7" t="str">
        <f t="shared" si="13"/>
        <v/>
      </c>
      <c r="AGI1" s="7" t="str">
        <f t="shared" si="13"/>
        <v/>
      </c>
      <c r="AGJ1" s="7" t="str">
        <f t="shared" si="13"/>
        <v/>
      </c>
      <c r="AGK1" s="7" t="str">
        <f t="shared" si="13"/>
        <v/>
      </c>
      <c r="AGL1" s="7" t="str">
        <f t="shared" si="13"/>
        <v/>
      </c>
      <c r="AGM1" s="7" t="str">
        <f t="shared" si="13"/>
        <v/>
      </c>
      <c r="AGN1" s="7" t="str">
        <f t="shared" si="13"/>
        <v/>
      </c>
      <c r="AGO1" s="7" t="str">
        <f t="shared" si="13"/>
        <v/>
      </c>
      <c r="AGP1" s="7" t="str">
        <f t="shared" si="13"/>
        <v/>
      </c>
      <c r="AGQ1" s="7" t="str">
        <f t="shared" si="13"/>
        <v/>
      </c>
      <c r="AGR1" s="7" t="str">
        <f t="shared" si="13"/>
        <v/>
      </c>
      <c r="AGS1" s="7" t="str">
        <f t="shared" si="13"/>
        <v/>
      </c>
      <c r="AGT1" s="7" t="str">
        <f t="shared" si="13"/>
        <v/>
      </c>
      <c r="AGU1" s="7" t="str">
        <f t="shared" si="13"/>
        <v/>
      </c>
      <c r="AGV1" s="7" t="str">
        <f t="shared" si="13"/>
        <v/>
      </c>
      <c r="AGW1" s="7" t="str">
        <f t="shared" si="13"/>
        <v/>
      </c>
      <c r="AGX1" s="7" t="str">
        <f t="shared" si="13"/>
        <v/>
      </c>
      <c r="AGY1" s="7" t="str">
        <f t="shared" si="13"/>
        <v/>
      </c>
      <c r="AGZ1" s="7" t="str">
        <f t="shared" si="13"/>
        <v/>
      </c>
      <c r="AHA1" s="7" t="str">
        <f t="shared" si="13"/>
        <v/>
      </c>
      <c r="AHB1" s="7" t="str">
        <f t="shared" si="13"/>
        <v/>
      </c>
      <c r="AHC1" s="7" t="str">
        <f t="shared" si="13"/>
        <v/>
      </c>
      <c r="AHD1" s="7" t="str">
        <f t="shared" si="13"/>
        <v/>
      </c>
      <c r="AHE1" s="7" t="str">
        <f t="shared" si="13"/>
        <v/>
      </c>
      <c r="AHF1" s="7" t="str">
        <f t="shared" si="13"/>
        <v/>
      </c>
      <c r="AHG1" s="7" t="str">
        <f t="shared" si="13"/>
        <v/>
      </c>
      <c r="AHH1" s="7" t="str">
        <f t="shared" si="13"/>
        <v/>
      </c>
      <c r="AHI1" s="7" t="str">
        <f t="shared" si="13"/>
        <v/>
      </c>
      <c r="AHJ1" s="7" t="str">
        <f t="shared" si="13"/>
        <v/>
      </c>
      <c r="AHK1" s="7" t="str">
        <f t="shared" si="13"/>
        <v/>
      </c>
      <c r="AHL1" s="7" t="str">
        <f t="shared" si="13"/>
        <v/>
      </c>
      <c r="AHM1" s="7" t="str">
        <f t="shared" si="13"/>
        <v/>
      </c>
      <c r="AHN1" s="7" t="str">
        <f t="shared" si="13"/>
        <v/>
      </c>
      <c r="AHO1" s="7" t="str">
        <f t="shared" si="13"/>
        <v/>
      </c>
      <c r="AHP1" s="7" t="str">
        <f t="shared" ref="AHP1:AKA1" si="14">IF(COUNTA(AHO$2:AHO$32768)&gt;0, "Asset " &amp; COLUMN(AHO$1), "")</f>
        <v/>
      </c>
      <c r="AHQ1" s="7" t="str">
        <f t="shared" si="14"/>
        <v/>
      </c>
      <c r="AHR1" s="7" t="str">
        <f t="shared" si="14"/>
        <v/>
      </c>
      <c r="AHS1" s="7" t="str">
        <f t="shared" si="14"/>
        <v/>
      </c>
      <c r="AHT1" s="7" t="str">
        <f t="shared" si="14"/>
        <v/>
      </c>
      <c r="AHU1" s="7" t="str">
        <f t="shared" si="14"/>
        <v/>
      </c>
      <c r="AHV1" s="7" t="str">
        <f t="shared" si="14"/>
        <v/>
      </c>
      <c r="AHW1" s="7" t="str">
        <f t="shared" si="14"/>
        <v/>
      </c>
      <c r="AHX1" s="7" t="str">
        <f t="shared" si="14"/>
        <v/>
      </c>
      <c r="AHY1" s="7" t="str">
        <f t="shared" si="14"/>
        <v/>
      </c>
      <c r="AHZ1" s="7" t="str">
        <f t="shared" si="14"/>
        <v/>
      </c>
      <c r="AIA1" s="7" t="str">
        <f t="shared" si="14"/>
        <v/>
      </c>
      <c r="AIB1" s="7" t="str">
        <f t="shared" si="14"/>
        <v/>
      </c>
      <c r="AIC1" s="7" t="str">
        <f t="shared" si="14"/>
        <v/>
      </c>
      <c r="AID1" s="7" t="str">
        <f t="shared" si="14"/>
        <v/>
      </c>
      <c r="AIE1" s="7" t="str">
        <f t="shared" si="14"/>
        <v/>
      </c>
      <c r="AIF1" s="7" t="str">
        <f t="shared" si="14"/>
        <v/>
      </c>
      <c r="AIG1" s="7" t="str">
        <f t="shared" si="14"/>
        <v/>
      </c>
      <c r="AIH1" s="7" t="str">
        <f t="shared" si="14"/>
        <v/>
      </c>
      <c r="AII1" s="7" t="str">
        <f t="shared" si="14"/>
        <v/>
      </c>
      <c r="AIJ1" s="7" t="str">
        <f t="shared" si="14"/>
        <v/>
      </c>
      <c r="AIK1" s="7" t="str">
        <f t="shared" si="14"/>
        <v/>
      </c>
      <c r="AIL1" s="7" t="str">
        <f t="shared" si="14"/>
        <v/>
      </c>
      <c r="AIM1" s="7" t="str">
        <f t="shared" si="14"/>
        <v/>
      </c>
      <c r="AIN1" s="7" t="str">
        <f t="shared" si="14"/>
        <v/>
      </c>
      <c r="AIO1" s="7" t="str">
        <f t="shared" si="14"/>
        <v/>
      </c>
      <c r="AIP1" s="7" t="str">
        <f t="shared" si="14"/>
        <v/>
      </c>
      <c r="AIQ1" s="7" t="str">
        <f t="shared" si="14"/>
        <v/>
      </c>
      <c r="AIR1" s="7" t="str">
        <f t="shared" si="14"/>
        <v/>
      </c>
      <c r="AIS1" s="7" t="str">
        <f t="shared" si="14"/>
        <v/>
      </c>
      <c r="AIT1" s="7" t="str">
        <f t="shared" si="14"/>
        <v/>
      </c>
      <c r="AIU1" s="7" t="str">
        <f t="shared" si="14"/>
        <v/>
      </c>
      <c r="AIV1" s="7" t="str">
        <f t="shared" si="14"/>
        <v/>
      </c>
      <c r="AIW1" s="7" t="str">
        <f t="shared" si="14"/>
        <v/>
      </c>
      <c r="AIX1" s="7" t="str">
        <f t="shared" si="14"/>
        <v/>
      </c>
      <c r="AIY1" s="7" t="str">
        <f t="shared" si="14"/>
        <v/>
      </c>
      <c r="AIZ1" s="7" t="str">
        <f t="shared" si="14"/>
        <v/>
      </c>
      <c r="AJA1" s="7" t="str">
        <f t="shared" si="14"/>
        <v/>
      </c>
      <c r="AJB1" s="7" t="str">
        <f t="shared" si="14"/>
        <v/>
      </c>
      <c r="AJC1" s="7" t="str">
        <f t="shared" si="14"/>
        <v/>
      </c>
      <c r="AJD1" s="7" t="str">
        <f t="shared" si="14"/>
        <v/>
      </c>
      <c r="AJE1" s="7" t="str">
        <f t="shared" si="14"/>
        <v/>
      </c>
      <c r="AJF1" s="7" t="str">
        <f t="shared" si="14"/>
        <v/>
      </c>
      <c r="AJG1" s="7" t="str">
        <f t="shared" si="14"/>
        <v/>
      </c>
      <c r="AJH1" s="7" t="str">
        <f t="shared" si="14"/>
        <v/>
      </c>
      <c r="AJI1" s="7" t="str">
        <f t="shared" si="14"/>
        <v/>
      </c>
      <c r="AJJ1" s="7" t="str">
        <f t="shared" si="14"/>
        <v/>
      </c>
      <c r="AJK1" s="7" t="str">
        <f t="shared" si="14"/>
        <v/>
      </c>
      <c r="AJL1" s="7" t="str">
        <f t="shared" si="14"/>
        <v/>
      </c>
      <c r="AJM1" s="7" t="str">
        <f t="shared" si="14"/>
        <v/>
      </c>
      <c r="AJN1" s="7" t="str">
        <f t="shared" si="14"/>
        <v/>
      </c>
      <c r="AJO1" s="7" t="str">
        <f t="shared" si="14"/>
        <v/>
      </c>
      <c r="AJP1" s="7" t="str">
        <f t="shared" si="14"/>
        <v/>
      </c>
      <c r="AJQ1" s="7" t="str">
        <f t="shared" si="14"/>
        <v/>
      </c>
      <c r="AJR1" s="7" t="str">
        <f t="shared" si="14"/>
        <v/>
      </c>
      <c r="AJS1" s="7" t="str">
        <f t="shared" si="14"/>
        <v/>
      </c>
      <c r="AJT1" s="7" t="str">
        <f t="shared" si="14"/>
        <v/>
      </c>
      <c r="AJU1" s="7" t="str">
        <f t="shared" si="14"/>
        <v/>
      </c>
      <c r="AJV1" s="7" t="str">
        <f t="shared" si="14"/>
        <v/>
      </c>
      <c r="AJW1" s="7" t="str">
        <f t="shared" si="14"/>
        <v/>
      </c>
      <c r="AJX1" s="7" t="str">
        <f t="shared" si="14"/>
        <v/>
      </c>
      <c r="AJY1" s="7" t="str">
        <f t="shared" si="14"/>
        <v/>
      </c>
      <c r="AJZ1" s="7" t="str">
        <f t="shared" si="14"/>
        <v/>
      </c>
      <c r="AKA1" s="7" t="str">
        <f t="shared" si="14"/>
        <v/>
      </c>
      <c r="AKB1" s="7" t="str">
        <f t="shared" ref="AKB1:AMJ1" si="15">IF(COUNTA(AKA$2:AKA$32768)&gt;0, "Asset " &amp; COLUMN(AKA$1), "")</f>
        <v/>
      </c>
      <c r="AKC1" s="7" t="str">
        <f t="shared" si="15"/>
        <v/>
      </c>
      <c r="AKD1" s="7" t="str">
        <f t="shared" si="15"/>
        <v/>
      </c>
      <c r="AKE1" s="7" t="str">
        <f t="shared" si="15"/>
        <v/>
      </c>
      <c r="AKF1" s="7" t="str">
        <f t="shared" si="15"/>
        <v/>
      </c>
      <c r="AKG1" s="7" t="str">
        <f t="shared" si="15"/>
        <v/>
      </c>
      <c r="AKH1" s="7" t="str">
        <f t="shared" si="15"/>
        <v/>
      </c>
      <c r="AKI1" s="7" t="str">
        <f t="shared" si="15"/>
        <v/>
      </c>
      <c r="AKJ1" s="7" t="str">
        <f t="shared" si="15"/>
        <v/>
      </c>
      <c r="AKK1" s="7" t="str">
        <f t="shared" si="15"/>
        <v/>
      </c>
      <c r="AKL1" s="7" t="str">
        <f t="shared" si="15"/>
        <v/>
      </c>
      <c r="AKM1" s="7" t="str">
        <f t="shared" si="15"/>
        <v/>
      </c>
      <c r="AKN1" s="7" t="str">
        <f t="shared" si="15"/>
        <v/>
      </c>
      <c r="AKO1" s="7" t="str">
        <f t="shared" si="15"/>
        <v/>
      </c>
      <c r="AKP1" s="7" t="str">
        <f t="shared" si="15"/>
        <v/>
      </c>
      <c r="AKQ1" s="7" t="str">
        <f t="shared" si="15"/>
        <v/>
      </c>
      <c r="AKR1" s="7" t="str">
        <f t="shared" si="15"/>
        <v/>
      </c>
      <c r="AKS1" s="7" t="str">
        <f t="shared" si="15"/>
        <v/>
      </c>
      <c r="AKT1" s="7" t="str">
        <f t="shared" si="15"/>
        <v/>
      </c>
      <c r="AKU1" s="7" t="str">
        <f t="shared" si="15"/>
        <v/>
      </c>
      <c r="AKV1" s="7" t="str">
        <f t="shared" si="15"/>
        <v/>
      </c>
      <c r="AKW1" s="7" t="str">
        <f t="shared" si="15"/>
        <v/>
      </c>
      <c r="AKX1" s="7" t="str">
        <f t="shared" si="15"/>
        <v/>
      </c>
      <c r="AKY1" s="7" t="str">
        <f t="shared" si="15"/>
        <v/>
      </c>
      <c r="AKZ1" s="7" t="str">
        <f t="shared" si="15"/>
        <v/>
      </c>
      <c r="ALA1" s="7" t="str">
        <f t="shared" si="15"/>
        <v/>
      </c>
      <c r="ALB1" s="7" t="str">
        <f t="shared" si="15"/>
        <v/>
      </c>
      <c r="ALC1" s="7" t="str">
        <f t="shared" si="15"/>
        <v/>
      </c>
      <c r="ALD1" s="7" t="str">
        <f t="shared" si="15"/>
        <v/>
      </c>
      <c r="ALE1" s="7" t="str">
        <f t="shared" si="15"/>
        <v/>
      </c>
      <c r="ALF1" s="7" t="str">
        <f t="shared" si="15"/>
        <v/>
      </c>
      <c r="ALG1" s="7" t="str">
        <f t="shared" si="15"/>
        <v/>
      </c>
      <c r="ALH1" s="7" t="str">
        <f t="shared" si="15"/>
        <v/>
      </c>
      <c r="ALI1" s="7" t="str">
        <f t="shared" si="15"/>
        <v/>
      </c>
      <c r="ALJ1" s="7" t="str">
        <f t="shared" si="15"/>
        <v/>
      </c>
      <c r="ALK1" s="7" t="str">
        <f t="shared" si="15"/>
        <v/>
      </c>
      <c r="ALL1" s="7" t="str">
        <f t="shared" si="15"/>
        <v/>
      </c>
      <c r="ALM1" s="7" t="str">
        <f t="shared" si="15"/>
        <v/>
      </c>
      <c r="ALN1" s="7" t="str">
        <f t="shared" si="15"/>
        <v/>
      </c>
      <c r="ALO1" s="7" t="str">
        <f t="shared" si="15"/>
        <v/>
      </c>
      <c r="ALP1" s="7" t="str">
        <f t="shared" si="15"/>
        <v/>
      </c>
      <c r="ALQ1" s="7" t="str">
        <f t="shared" si="15"/>
        <v/>
      </c>
      <c r="ALR1" s="7" t="str">
        <f t="shared" si="15"/>
        <v/>
      </c>
      <c r="ALS1" s="7" t="str">
        <f t="shared" si="15"/>
        <v/>
      </c>
      <c r="ALT1" s="7" t="str">
        <f t="shared" si="15"/>
        <v/>
      </c>
      <c r="ALU1" s="7" t="str">
        <f t="shared" si="15"/>
        <v/>
      </c>
      <c r="ALV1" s="7" t="str">
        <f t="shared" si="15"/>
        <v/>
      </c>
      <c r="ALW1" s="7" t="str">
        <f t="shared" si="15"/>
        <v/>
      </c>
      <c r="ALX1" s="7" t="str">
        <f t="shared" si="15"/>
        <v/>
      </c>
      <c r="ALY1" s="7" t="str">
        <f t="shared" si="15"/>
        <v/>
      </c>
      <c r="ALZ1" s="7" t="str">
        <f t="shared" si="15"/>
        <v/>
      </c>
      <c r="AMA1" s="7" t="str">
        <f t="shared" si="15"/>
        <v/>
      </c>
      <c r="AMB1" s="7" t="str">
        <f t="shared" si="15"/>
        <v/>
      </c>
      <c r="AMC1" s="7" t="str">
        <f t="shared" si="15"/>
        <v/>
      </c>
      <c r="AMD1" s="7" t="str">
        <f t="shared" si="15"/>
        <v/>
      </c>
      <c r="AME1" s="7" t="str">
        <f t="shared" si="15"/>
        <v/>
      </c>
      <c r="AMF1" s="7" t="str">
        <f t="shared" si="15"/>
        <v/>
      </c>
      <c r="AMG1" s="7" t="str">
        <f t="shared" si="15"/>
        <v/>
      </c>
      <c r="AMH1" s="7" t="str">
        <f t="shared" si="15"/>
        <v/>
      </c>
      <c r="AMI1" s="7" t="str">
        <f t="shared" si="15"/>
        <v/>
      </c>
      <c r="AMJ1" s="7" t="str">
        <f t="shared" si="15"/>
        <v/>
      </c>
    </row>
    <row r="2" spans="1:1024" x14ac:dyDescent="0.25">
      <c r="A2" t="s">
        <v>587</v>
      </c>
      <c r="B2" t="s">
        <v>574</v>
      </c>
      <c r="C2" t="s">
        <v>555</v>
      </c>
    </row>
    <row r="3" spans="1:1024" x14ac:dyDescent="0.25">
      <c r="A3" t="s">
        <v>586</v>
      </c>
      <c r="B3" t="s">
        <v>573</v>
      </c>
      <c r="C3" t="s">
        <v>555</v>
      </c>
    </row>
    <row r="4" spans="1:1024" x14ac:dyDescent="0.25">
      <c r="A4" t="s">
        <v>558</v>
      </c>
      <c r="B4" t="s">
        <v>558</v>
      </c>
    </row>
    <row r="5" spans="1:1024" x14ac:dyDescent="0.25">
      <c r="A5" t="s">
        <v>590</v>
      </c>
      <c r="B5" t="s">
        <v>555</v>
      </c>
      <c r="C5" t="s">
        <v>558</v>
      </c>
    </row>
  </sheetData>
  <dataValidations count="1">
    <dataValidation type="list" allowBlank="1" showInputMessage="1" showErrorMessage="1" sqref="B2:BZT2048" xr:uid="{00000000-0002-0000-0400-000000000000}">
      <formula1>AssetNames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R4"/>
  <sheetViews>
    <sheetView workbookViewId="0">
      <selection activeCell="A3" sqref="A3:XFD3"/>
    </sheetView>
  </sheetViews>
  <sheetFormatPr defaultColWidth="15.85546875" defaultRowHeight="14.3" x14ac:dyDescent="0.25"/>
  <cols>
    <col min="1" max="1" width="15.85546875" style="8" customWidth="1"/>
    <col min="2" max="16384" width="15.85546875" style="8"/>
  </cols>
  <sheetData>
    <row r="1" spans="1:200" s="9" customFormat="1" x14ac:dyDescent="0.25">
      <c r="A1" s="9" t="s">
        <v>300</v>
      </c>
      <c r="B1" s="9" t="s">
        <v>299</v>
      </c>
      <c r="C1" s="9" t="str">
        <f t="shared" ref="C1:AH1" si="0">IF(COUNTA(B$2:B$32768)&gt;0, "Option " &amp; COLUMN(B$1), "")</f>
        <v>Option 2</v>
      </c>
      <c r="D1" s="9" t="str">
        <f t="shared" si="0"/>
        <v>Option 3</v>
      </c>
      <c r="E1" s="9" t="str">
        <f t="shared" si="0"/>
        <v>Option 4</v>
      </c>
      <c r="F1" s="9" t="str">
        <f t="shared" si="0"/>
        <v>Option 5</v>
      </c>
      <c r="G1" s="9" t="str">
        <f t="shared" si="0"/>
        <v>Option 6</v>
      </c>
      <c r="H1" s="9" t="str">
        <f t="shared" si="0"/>
        <v/>
      </c>
      <c r="I1" s="9" t="str">
        <f t="shared" si="0"/>
        <v/>
      </c>
      <c r="J1" s="9" t="str">
        <f t="shared" si="0"/>
        <v/>
      </c>
      <c r="K1" s="9" t="str">
        <f t="shared" si="0"/>
        <v/>
      </c>
      <c r="L1" s="9" t="str">
        <f t="shared" si="0"/>
        <v/>
      </c>
      <c r="M1" s="9" t="str">
        <f t="shared" si="0"/>
        <v/>
      </c>
      <c r="N1" s="9" t="str">
        <f t="shared" si="0"/>
        <v/>
      </c>
      <c r="O1" s="9" t="str">
        <f t="shared" si="0"/>
        <v/>
      </c>
      <c r="P1" s="9" t="str">
        <f t="shared" si="0"/>
        <v/>
      </c>
      <c r="Q1" s="9" t="str">
        <f t="shared" si="0"/>
        <v/>
      </c>
      <c r="R1" s="9" t="str">
        <f t="shared" si="0"/>
        <v/>
      </c>
      <c r="S1" s="9" t="str">
        <f t="shared" si="0"/>
        <v/>
      </c>
      <c r="T1" s="9" t="str">
        <f t="shared" si="0"/>
        <v/>
      </c>
      <c r="U1" s="9" t="str">
        <f t="shared" si="0"/>
        <v/>
      </c>
      <c r="V1" s="9" t="str">
        <f t="shared" si="0"/>
        <v/>
      </c>
      <c r="W1" s="9" t="str">
        <f t="shared" si="0"/>
        <v/>
      </c>
      <c r="X1" s="9" t="str">
        <f t="shared" si="0"/>
        <v/>
      </c>
      <c r="Y1" s="9" t="str">
        <f t="shared" si="0"/>
        <v/>
      </c>
      <c r="Z1" s="9" t="str">
        <f t="shared" si="0"/>
        <v/>
      </c>
      <c r="AA1" s="9" t="str">
        <f t="shared" si="0"/>
        <v/>
      </c>
      <c r="AB1" s="9" t="str">
        <f t="shared" si="0"/>
        <v/>
      </c>
      <c r="AC1" s="9" t="str">
        <f t="shared" si="0"/>
        <v/>
      </c>
      <c r="AD1" s="9" t="str">
        <f t="shared" si="0"/>
        <v/>
      </c>
      <c r="AE1" s="9" t="str">
        <f t="shared" si="0"/>
        <v/>
      </c>
      <c r="AF1" s="9" t="str">
        <f t="shared" si="0"/>
        <v/>
      </c>
      <c r="AG1" s="9" t="str">
        <f t="shared" si="0"/>
        <v/>
      </c>
      <c r="AH1" s="9" t="str">
        <f t="shared" si="0"/>
        <v/>
      </c>
      <c r="AI1" s="9" t="str">
        <f t="shared" ref="AI1:BN1" si="1">IF(COUNTA(AH$2:AH$32768)&gt;0, "Option " &amp; COLUMN(AH$1), "")</f>
        <v/>
      </c>
      <c r="AJ1" s="9" t="str">
        <f t="shared" si="1"/>
        <v/>
      </c>
      <c r="AK1" s="9" t="str">
        <f t="shared" si="1"/>
        <v/>
      </c>
      <c r="AL1" s="9" t="str">
        <f t="shared" si="1"/>
        <v/>
      </c>
      <c r="AM1" s="9" t="str">
        <f t="shared" si="1"/>
        <v/>
      </c>
      <c r="AN1" s="9" t="str">
        <f t="shared" si="1"/>
        <v/>
      </c>
      <c r="AO1" s="9" t="str">
        <f t="shared" si="1"/>
        <v/>
      </c>
      <c r="AP1" s="9" t="str">
        <f t="shared" si="1"/>
        <v/>
      </c>
      <c r="AQ1" s="9" t="str">
        <f t="shared" si="1"/>
        <v/>
      </c>
      <c r="AR1" s="9" t="str">
        <f t="shared" si="1"/>
        <v/>
      </c>
      <c r="AS1" s="9" t="str">
        <f t="shared" si="1"/>
        <v/>
      </c>
      <c r="AT1" s="9" t="str">
        <f t="shared" si="1"/>
        <v/>
      </c>
      <c r="AU1" s="9" t="str">
        <f t="shared" si="1"/>
        <v/>
      </c>
      <c r="AV1" s="9" t="str">
        <f t="shared" si="1"/>
        <v/>
      </c>
      <c r="AW1" s="9" t="str">
        <f t="shared" si="1"/>
        <v/>
      </c>
      <c r="AX1" s="9" t="str">
        <f t="shared" si="1"/>
        <v/>
      </c>
      <c r="AY1" s="9" t="str">
        <f t="shared" si="1"/>
        <v/>
      </c>
      <c r="AZ1" s="9" t="str">
        <f t="shared" si="1"/>
        <v/>
      </c>
      <c r="BA1" s="9" t="str">
        <f t="shared" si="1"/>
        <v/>
      </c>
      <c r="BB1" s="9" t="str">
        <f t="shared" si="1"/>
        <v/>
      </c>
      <c r="BC1" s="9" t="str">
        <f t="shared" si="1"/>
        <v/>
      </c>
      <c r="BD1" s="9" t="str">
        <f t="shared" si="1"/>
        <v/>
      </c>
      <c r="BE1" s="9" t="str">
        <f t="shared" si="1"/>
        <v/>
      </c>
      <c r="BF1" s="9" t="str">
        <f t="shared" si="1"/>
        <v/>
      </c>
      <c r="BG1" s="9" t="str">
        <f t="shared" si="1"/>
        <v/>
      </c>
      <c r="BH1" s="9" t="str">
        <f t="shared" si="1"/>
        <v/>
      </c>
      <c r="BI1" s="9" t="str">
        <f t="shared" si="1"/>
        <v/>
      </c>
      <c r="BJ1" s="9" t="str">
        <f t="shared" si="1"/>
        <v/>
      </c>
      <c r="BK1" s="9" t="str">
        <f t="shared" si="1"/>
        <v/>
      </c>
      <c r="BL1" s="9" t="str">
        <f t="shared" si="1"/>
        <v/>
      </c>
      <c r="BM1" s="9" t="str">
        <f t="shared" si="1"/>
        <v/>
      </c>
      <c r="BN1" s="9" t="str">
        <f t="shared" si="1"/>
        <v/>
      </c>
      <c r="BO1" s="9" t="str">
        <f t="shared" ref="BO1:CT1" si="2">IF(COUNTA(BN$2:BN$32768)&gt;0, "Option " &amp; COLUMN(BN$1), "")</f>
        <v/>
      </c>
      <c r="BP1" s="9" t="str">
        <f t="shared" si="2"/>
        <v/>
      </c>
      <c r="BQ1" s="9" t="str">
        <f t="shared" si="2"/>
        <v/>
      </c>
      <c r="BR1" s="9" t="str">
        <f t="shared" si="2"/>
        <v/>
      </c>
      <c r="BS1" s="9" t="str">
        <f t="shared" si="2"/>
        <v/>
      </c>
      <c r="BT1" s="9" t="str">
        <f t="shared" si="2"/>
        <v/>
      </c>
      <c r="BU1" s="9" t="str">
        <f t="shared" si="2"/>
        <v/>
      </c>
      <c r="BV1" s="9" t="str">
        <f t="shared" si="2"/>
        <v/>
      </c>
      <c r="BW1" s="9" t="str">
        <f t="shared" si="2"/>
        <v/>
      </c>
      <c r="BX1" s="9" t="str">
        <f t="shared" si="2"/>
        <v/>
      </c>
      <c r="BY1" s="9" t="str">
        <f t="shared" si="2"/>
        <v/>
      </c>
      <c r="BZ1" s="9" t="str">
        <f t="shared" si="2"/>
        <v/>
      </c>
      <c r="CA1" s="9" t="str">
        <f t="shared" si="2"/>
        <v/>
      </c>
      <c r="CB1" s="9" t="str">
        <f t="shared" si="2"/>
        <v/>
      </c>
      <c r="CC1" s="9" t="str">
        <f t="shared" si="2"/>
        <v/>
      </c>
      <c r="CD1" s="9" t="str">
        <f t="shared" si="2"/>
        <v/>
      </c>
      <c r="CE1" s="9" t="str">
        <f t="shared" si="2"/>
        <v/>
      </c>
      <c r="CF1" s="9" t="str">
        <f t="shared" si="2"/>
        <v/>
      </c>
      <c r="CG1" s="9" t="str">
        <f t="shared" si="2"/>
        <v/>
      </c>
      <c r="CH1" s="9" t="str">
        <f t="shared" si="2"/>
        <v/>
      </c>
      <c r="CI1" s="9" t="str">
        <f t="shared" si="2"/>
        <v/>
      </c>
      <c r="CJ1" s="9" t="str">
        <f t="shared" si="2"/>
        <v/>
      </c>
      <c r="CK1" s="9" t="str">
        <f t="shared" si="2"/>
        <v/>
      </c>
      <c r="CL1" s="9" t="str">
        <f t="shared" si="2"/>
        <v/>
      </c>
      <c r="CM1" s="9" t="str">
        <f t="shared" si="2"/>
        <v/>
      </c>
      <c r="CN1" s="9" t="str">
        <f t="shared" si="2"/>
        <v/>
      </c>
      <c r="CO1" s="9" t="str">
        <f t="shared" si="2"/>
        <v/>
      </c>
      <c r="CP1" s="9" t="str">
        <f t="shared" si="2"/>
        <v/>
      </c>
      <c r="CQ1" s="9" t="str">
        <f t="shared" si="2"/>
        <v/>
      </c>
      <c r="CR1" s="9" t="str">
        <f t="shared" si="2"/>
        <v/>
      </c>
      <c r="CS1" s="9" t="str">
        <f t="shared" si="2"/>
        <v/>
      </c>
      <c r="CT1" s="9" t="str">
        <f t="shared" si="2"/>
        <v/>
      </c>
      <c r="CU1" s="9" t="str">
        <f t="shared" ref="CU1:DZ1" si="3">IF(COUNTA(CT$2:CT$32768)&gt;0, "Option " &amp; COLUMN(CT$1), "")</f>
        <v/>
      </c>
      <c r="CV1" s="9" t="str">
        <f t="shared" si="3"/>
        <v/>
      </c>
      <c r="CW1" s="9" t="str">
        <f t="shared" si="3"/>
        <v/>
      </c>
      <c r="CX1" s="9" t="str">
        <f t="shared" si="3"/>
        <v/>
      </c>
      <c r="CY1" s="9" t="str">
        <f t="shared" si="3"/>
        <v/>
      </c>
      <c r="CZ1" s="9" t="str">
        <f t="shared" si="3"/>
        <v/>
      </c>
      <c r="DA1" s="9" t="str">
        <f t="shared" si="3"/>
        <v/>
      </c>
      <c r="DB1" s="9" t="str">
        <f t="shared" si="3"/>
        <v/>
      </c>
      <c r="DC1" s="9" t="str">
        <f t="shared" si="3"/>
        <v/>
      </c>
      <c r="DD1" s="9" t="str">
        <f t="shared" si="3"/>
        <v/>
      </c>
      <c r="DE1" s="9" t="str">
        <f t="shared" si="3"/>
        <v/>
      </c>
      <c r="DF1" s="9" t="str">
        <f t="shared" si="3"/>
        <v/>
      </c>
      <c r="DG1" s="9" t="str">
        <f t="shared" si="3"/>
        <v/>
      </c>
      <c r="DH1" s="9" t="str">
        <f t="shared" si="3"/>
        <v/>
      </c>
      <c r="DI1" s="9" t="str">
        <f t="shared" si="3"/>
        <v/>
      </c>
      <c r="DJ1" s="9" t="str">
        <f t="shared" si="3"/>
        <v/>
      </c>
      <c r="DK1" s="9" t="str">
        <f t="shared" si="3"/>
        <v/>
      </c>
      <c r="DL1" s="9" t="str">
        <f t="shared" si="3"/>
        <v/>
      </c>
      <c r="DM1" s="9" t="str">
        <f t="shared" si="3"/>
        <v/>
      </c>
      <c r="DN1" s="9" t="str">
        <f t="shared" si="3"/>
        <v/>
      </c>
      <c r="DO1" s="9" t="str">
        <f t="shared" si="3"/>
        <v/>
      </c>
      <c r="DP1" s="9" t="str">
        <f t="shared" si="3"/>
        <v/>
      </c>
      <c r="DQ1" s="9" t="str">
        <f t="shared" si="3"/>
        <v/>
      </c>
      <c r="DR1" s="9" t="str">
        <f t="shared" si="3"/>
        <v/>
      </c>
      <c r="DS1" s="9" t="str">
        <f t="shared" si="3"/>
        <v/>
      </c>
      <c r="DT1" s="9" t="str">
        <f t="shared" si="3"/>
        <v/>
      </c>
      <c r="DU1" s="9" t="str">
        <f t="shared" si="3"/>
        <v/>
      </c>
      <c r="DV1" s="9" t="str">
        <f t="shared" si="3"/>
        <v/>
      </c>
      <c r="DW1" s="9" t="str">
        <f t="shared" si="3"/>
        <v/>
      </c>
      <c r="DX1" s="9" t="str">
        <f t="shared" si="3"/>
        <v/>
      </c>
      <c r="DY1" s="9" t="str">
        <f t="shared" si="3"/>
        <v/>
      </c>
      <c r="DZ1" s="9" t="str">
        <f t="shared" si="3"/>
        <v/>
      </c>
      <c r="EA1" s="9" t="str">
        <f t="shared" ref="EA1:FF1" si="4">IF(COUNTA(DZ$2:DZ$32768)&gt;0, "Option " &amp; COLUMN(DZ$1), "")</f>
        <v/>
      </c>
      <c r="EB1" s="9" t="str">
        <f t="shared" si="4"/>
        <v/>
      </c>
      <c r="EC1" s="9" t="str">
        <f t="shared" si="4"/>
        <v/>
      </c>
      <c r="ED1" s="9" t="str">
        <f t="shared" si="4"/>
        <v/>
      </c>
      <c r="EE1" s="9" t="str">
        <f t="shared" si="4"/>
        <v/>
      </c>
      <c r="EF1" s="9" t="str">
        <f t="shared" si="4"/>
        <v/>
      </c>
      <c r="EG1" s="9" t="str">
        <f t="shared" si="4"/>
        <v/>
      </c>
      <c r="EH1" s="9" t="str">
        <f t="shared" si="4"/>
        <v/>
      </c>
      <c r="EI1" s="9" t="str">
        <f t="shared" si="4"/>
        <v/>
      </c>
      <c r="EJ1" s="9" t="str">
        <f t="shared" si="4"/>
        <v/>
      </c>
      <c r="EK1" s="9" t="str">
        <f t="shared" si="4"/>
        <v/>
      </c>
      <c r="EL1" s="9" t="str">
        <f t="shared" si="4"/>
        <v/>
      </c>
      <c r="EM1" s="9" t="str">
        <f t="shared" si="4"/>
        <v/>
      </c>
      <c r="EN1" s="9" t="str">
        <f t="shared" si="4"/>
        <v/>
      </c>
      <c r="EO1" s="9" t="str">
        <f t="shared" si="4"/>
        <v/>
      </c>
      <c r="EP1" s="9" t="str">
        <f t="shared" si="4"/>
        <v/>
      </c>
      <c r="EQ1" s="9" t="str">
        <f t="shared" si="4"/>
        <v/>
      </c>
      <c r="ER1" s="9" t="str">
        <f t="shared" si="4"/>
        <v/>
      </c>
      <c r="ES1" s="9" t="str">
        <f t="shared" si="4"/>
        <v/>
      </c>
      <c r="ET1" s="9" t="str">
        <f t="shared" si="4"/>
        <v/>
      </c>
      <c r="EU1" s="9" t="str">
        <f t="shared" si="4"/>
        <v/>
      </c>
      <c r="EV1" s="9" t="str">
        <f t="shared" si="4"/>
        <v/>
      </c>
      <c r="EW1" s="9" t="str">
        <f t="shared" si="4"/>
        <v/>
      </c>
      <c r="EX1" s="9" t="str">
        <f t="shared" si="4"/>
        <v/>
      </c>
      <c r="EY1" s="9" t="str">
        <f t="shared" si="4"/>
        <v/>
      </c>
      <c r="EZ1" s="9" t="str">
        <f t="shared" si="4"/>
        <v/>
      </c>
      <c r="FA1" s="9" t="str">
        <f t="shared" si="4"/>
        <v/>
      </c>
      <c r="FB1" s="9" t="str">
        <f t="shared" si="4"/>
        <v/>
      </c>
      <c r="FC1" s="9" t="str">
        <f t="shared" si="4"/>
        <v/>
      </c>
      <c r="FD1" s="9" t="str">
        <f t="shared" si="4"/>
        <v/>
      </c>
      <c r="FE1" s="9" t="str">
        <f t="shared" si="4"/>
        <v/>
      </c>
      <c r="FF1" s="9" t="str">
        <f t="shared" si="4"/>
        <v/>
      </c>
      <c r="FG1" s="9" t="str">
        <f t="shared" ref="FG1:GL1" si="5">IF(COUNTA(FF$2:FF$32768)&gt;0, "Option " &amp; COLUMN(FF$1), "")</f>
        <v/>
      </c>
      <c r="FH1" s="9" t="str">
        <f t="shared" si="5"/>
        <v/>
      </c>
      <c r="FI1" s="9" t="str">
        <f t="shared" si="5"/>
        <v/>
      </c>
      <c r="FJ1" s="9" t="str">
        <f t="shared" si="5"/>
        <v/>
      </c>
      <c r="FK1" s="9" t="str">
        <f t="shared" si="5"/>
        <v/>
      </c>
      <c r="FL1" s="9" t="str">
        <f t="shared" si="5"/>
        <v/>
      </c>
      <c r="FM1" s="9" t="str">
        <f t="shared" si="5"/>
        <v/>
      </c>
      <c r="FN1" s="9" t="str">
        <f t="shared" si="5"/>
        <v/>
      </c>
      <c r="FO1" s="9" t="str">
        <f t="shared" si="5"/>
        <v/>
      </c>
      <c r="FP1" s="9" t="str">
        <f t="shared" si="5"/>
        <v/>
      </c>
      <c r="FQ1" s="9" t="str">
        <f t="shared" si="5"/>
        <v/>
      </c>
      <c r="FR1" s="9" t="str">
        <f t="shared" si="5"/>
        <v/>
      </c>
      <c r="FS1" s="9" t="str">
        <f t="shared" si="5"/>
        <v/>
      </c>
      <c r="FT1" s="9" t="str">
        <f t="shared" si="5"/>
        <v/>
      </c>
      <c r="FU1" s="9" t="str">
        <f t="shared" si="5"/>
        <v/>
      </c>
      <c r="FV1" s="9" t="str">
        <f t="shared" si="5"/>
        <v/>
      </c>
      <c r="FW1" s="9" t="str">
        <f t="shared" si="5"/>
        <v/>
      </c>
      <c r="FX1" s="9" t="str">
        <f t="shared" si="5"/>
        <v/>
      </c>
      <c r="FY1" s="9" t="str">
        <f t="shared" si="5"/>
        <v/>
      </c>
      <c r="FZ1" s="9" t="str">
        <f t="shared" si="5"/>
        <v/>
      </c>
      <c r="GA1" s="9" t="str">
        <f t="shared" si="5"/>
        <v/>
      </c>
      <c r="GB1" s="9" t="str">
        <f t="shared" si="5"/>
        <v/>
      </c>
      <c r="GC1" s="9" t="str">
        <f t="shared" si="5"/>
        <v/>
      </c>
      <c r="GD1" s="9" t="str">
        <f t="shared" si="5"/>
        <v/>
      </c>
      <c r="GE1" s="9" t="str">
        <f t="shared" si="5"/>
        <v/>
      </c>
      <c r="GF1" s="9" t="str">
        <f t="shared" si="5"/>
        <v/>
      </c>
      <c r="GG1" s="9" t="str">
        <f t="shared" si="5"/>
        <v/>
      </c>
      <c r="GH1" s="9" t="str">
        <f t="shared" si="5"/>
        <v/>
      </c>
      <c r="GI1" s="9" t="str">
        <f t="shared" si="5"/>
        <v/>
      </c>
      <c r="GJ1" s="9" t="str">
        <f t="shared" si="5"/>
        <v/>
      </c>
      <c r="GK1" s="9" t="str">
        <f t="shared" si="5"/>
        <v/>
      </c>
      <c r="GL1" s="9" t="str">
        <f t="shared" si="5"/>
        <v/>
      </c>
      <c r="GM1" s="9" t="str">
        <f t="shared" ref="GM1:GR1" si="6">IF(COUNTA(GL$2:GL$32768)&gt;0, "Option " &amp; COLUMN(GL$1), "")</f>
        <v/>
      </c>
      <c r="GN1" s="9" t="str">
        <f t="shared" si="6"/>
        <v/>
      </c>
      <c r="GO1" s="9" t="str">
        <f t="shared" si="6"/>
        <v/>
      </c>
      <c r="GP1" s="9" t="str">
        <f t="shared" si="6"/>
        <v/>
      </c>
      <c r="GQ1" s="9" t="str">
        <f t="shared" si="6"/>
        <v/>
      </c>
      <c r="GR1" s="9" t="str">
        <f t="shared" si="6"/>
        <v/>
      </c>
    </row>
    <row r="2" spans="1:200" x14ac:dyDescent="0.25">
      <c r="A2" s="8" t="s">
        <v>518</v>
      </c>
      <c r="B2" s="8" t="s">
        <v>559</v>
      </c>
      <c r="C2" s="8" t="s">
        <v>560</v>
      </c>
      <c r="D2" s="8" t="s">
        <v>561</v>
      </c>
      <c r="E2" s="8" t="s">
        <v>562</v>
      </c>
    </row>
    <row r="3" spans="1:200" x14ac:dyDescent="0.25">
      <c r="A3" s="8" t="s">
        <v>519</v>
      </c>
      <c r="B3" s="8" t="s">
        <v>584</v>
      </c>
      <c r="C3" s="8" t="s">
        <v>585</v>
      </c>
      <c r="D3" s="8" t="s">
        <v>521</v>
      </c>
      <c r="E3" s="8" t="s">
        <v>522</v>
      </c>
    </row>
    <row r="4" spans="1:200" x14ac:dyDescent="0.25">
      <c r="A4" s="8" t="s">
        <v>565</v>
      </c>
      <c r="B4" s="8" t="s">
        <v>566</v>
      </c>
      <c r="C4" s="8" t="s">
        <v>568</v>
      </c>
      <c r="D4" s="8" t="s">
        <v>569</v>
      </c>
      <c r="E4" s="8" t="s">
        <v>567</v>
      </c>
      <c r="F4" s="8" t="s">
        <v>570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69"/>
  <sheetViews>
    <sheetView topLeftCell="A4" workbookViewId="0">
      <selection activeCell="E68" sqref="E68 E68"/>
    </sheetView>
  </sheetViews>
  <sheetFormatPr defaultColWidth="9.140625" defaultRowHeight="14.3" x14ac:dyDescent="0.25"/>
  <cols>
    <col min="1" max="1" width="9.140625" style="4" customWidth="1"/>
    <col min="2" max="2" width="29" style="4" customWidth="1"/>
    <col min="3" max="3" width="8.85546875" style="4" customWidth="1"/>
    <col min="4" max="4" width="11.7109375" style="4" customWidth="1"/>
    <col min="5" max="5" width="17.7109375" style="4" customWidth="1"/>
    <col min="6" max="6" width="19.42578125" style="4" customWidth="1"/>
    <col min="7" max="7" width="32.5703125" style="4" customWidth="1"/>
    <col min="8" max="8" width="54.85546875" style="4" customWidth="1"/>
    <col min="9" max="9" width="9.140625" style="4" customWidth="1"/>
    <col min="10" max="16384" width="9.140625" style="4"/>
  </cols>
  <sheetData>
    <row r="1" spans="1:8" x14ac:dyDescent="0.25">
      <c r="B1" s="26" t="s">
        <v>301</v>
      </c>
      <c r="C1" s="27"/>
      <c r="D1" s="27"/>
      <c r="E1" s="27"/>
      <c r="F1" s="27"/>
      <c r="G1" s="27"/>
      <c r="H1" s="28"/>
    </row>
    <row r="2" spans="1:8" x14ac:dyDescent="0.25">
      <c r="A2" s="4" t="s">
        <v>302</v>
      </c>
      <c r="B2" s="11" t="s">
        <v>303</v>
      </c>
      <c r="C2" s="1"/>
      <c r="E2" s="4" t="s">
        <v>304</v>
      </c>
    </row>
    <row r="3" spans="1:8" x14ac:dyDescent="0.25">
      <c r="A3" s="4" t="s">
        <v>302</v>
      </c>
      <c r="B3" s="11" t="s">
        <v>305</v>
      </c>
      <c r="C3" s="1"/>
      <c r="E3" s="4" t="s">
        <v>306</v>
      </c>
    </row>
    <row r="4" spans="1:8" x14ac:dyDescent="0.25">
      <c r="A4" s="4" t="s">
        <v>302</v>
      </c>
      <c r="B4" s="11" t="s">
        <v>307</v>
      </c>
      <c r="C4" s="1"/>
      <c r="E4" s="4" t="s">
        <v>308</v>
      </c>
    </row>
    <row r="5" spans="1:8" x14ac:dyDescent="0.25">
      <c r="A5" s="4" t="s">
        <v>302</v>
      </c>
      <c r="B5" s="11" t="s">
        <v>309</v>
      </c>
      <c r="C5" s="1"/>
      <c r="E5" s="4" t="s">
        <v>310</v>
      </c>
    </row>
    <row r="6" spans="1:8" x14ac:dyDescent="0.25">
      <c r="A6" s="4" t="s">
        <v>302</v>
      </c>
      <c r="B6" s="11" t="s">
        <v>311</v>
      </c>
      <c r="C6" s="1"/>
      <c r="E6" s="4" t="s">
        <v>312</v>
      </c>
    </row>
    <row r="7" spans="1:8" x14ac:dyDescent="0.25">
      <c r="A7" s="4" t="s">
        <v>302</v>
      </c>
      <c r="B7" s="11" t="s">
        <v>313</v>
      </c>
      <c r="C7" s="1"/>
      <c r="E7" s="4" t="s">
        <v>314</v>
      </c>
    </row>
    <row r="8" spans="1:8" x14ac:dyDescent="0.25">
      <c r="A8" s="4" t="s">
        <v>302</v>
      </c>
      <c r="B8" s="11" t="s">
        <v>315</v>
      </c>
      <c r="C8" s="1"/>
      <c r="E8" s="4" t="s">
        <v>316</v>
      </c>
    </row>
    <row r="9" spans="1:8" x14ac:dyDescent="0.25">
      <c r="A9" s="4" t="s">
        <v>302</v>
      </c>
      <c r="B9" s="11" t="s">
        <v>317</v>
      </c>
      <c r="C9" s="1"/>
      <c r="E9" s="4" t="s">
        <v>318</v>
      </c>
    </row>
    <row r="10" spans="1:8" x14ac:dyDescent="0.25">
      <c r="A10" s="4" t="s">
        <v>302</v>
      </c>
      <c r="B10" s="11" t="s">
        <v>319</v>
      </c>
      <c r="C10" s="1"/>
      <c r="E10" s="4" t="s">
        <v>320</v>
      </c>
    </row>
    <row r="11" spans="1:8" x14ac:dyDescent="0.25">
      <c r="B11" s="11"/>
      <c r="C11" s="11"/>
      <c r="D11" s="12" t="s">
        <v>321</v>
      </c>
      <c r="E11" s="12" t="s">
        <v>322</v>
      </c>
      <c r="F11" s="12"/>
      <c r="G11" s="11"/>
      <c r="H11" s="11"/>
    </row>
    <row r="12" spans="1:8" x14ac:dyDescent="0.25">
      <c r="B12" s="12" t="s">
        <v>323</v>
      </c>
      <c r="C12" s="12"/>
      <c r="D12" s="12"/>
      <c r="E12" s="11"/>
      <c r="F12" s="11"/>
      <c r="G12" s="11"/>
      <c r="H12" s="11"/>
    </row>
    <row r="13" spans="1:8" x14ac:dyDescent="0.25">
      <c r="B13" s="13" t="s">
        <v>324</v>
      </c>
      <c r="C13" s="13" t="s">
        <v>325</v>
      </c>
      <c r="D13" s="13" t="s">
        <v>326</v>
      </c>
      <c r="E13" s="13" t="s">
        <v>327</v>
      </c>
      <c r="F13" s="13" t="s">
        <v>328</v>
      </c>
      <c r="G13" s="13" t="s">
        <v>329</v>
      </c>
      <c r="H13" s="13" t="s">
        <v>330</v>
      </c>
    </row>
    <row r="14" spans="1:8" x14ac:dyDescent="0.25">
      <c r="B14" s="29" t="s">
        <v>331</v>
      </c>
      <c r="C14" s="30"/>
      <c r="D14" s="30"/>
      <c r="E14" s="30"/>
      <c r="F14" s="30"/>
      <c r="G14" s="30"/>
      <c r="H14" s="31"/>
    </row>
    <row r="15" spans="1:8" x14ac:dyDescent="0.25">
      <c r="A15" s="4" t="s">
        <v>332</v>
      </c>
      <c r="B15" s="1" t="s">
        <v>333</v>
      </c>
      <c r="C15" s="1"/>
      <c r="D15" s="1"/>
      <c r="E15" s="1" t="s">
        <v>334</v>
      </c>
      <c r="F15" s="1"/>
      <c r="G15" s="1" t="s">
        <v>335</v>
      </c>
      <c r="H15" s="1" t="s">
        <v>336</v>
      </c>
    </row>
    <row r="16" spans="1:8" x14ac:dyDescent="0.25">
      <c r="A16" s="4" t="s">
        <v>332</v>
      </c>
      <c r="B16" s="1" t="s">
        <v>337</v>
      </c>
      <c r="C16" s="1"/>
      <c r="D16" s="1"/>
      <c r="E16" s="1" t="s">
        <v>334</v>
      </c>
      <c r="F16" s="1"/>
      <c r="G16" s="1" t="s">
        <v>338</v>
      </c>
      <c r="H16" s="1" t="s">
        <v>336</v>
      </c>
    </row>
    <row r="17" spans="1:15" x14ac:dyDescent="0.25">
      <c r="A17" s="4" t="s">
        <v>332</v>
      </c>
      <c r="B17" s="1" t="s">
        <v>339</v>
      </c>
      <c r="C17" s="1"/>
      <c r="D17" s="1"/>
      <c r="E17" s="1" t="s">
        <v>334</v>
      </c>
      <c r="F17" s="1"/>
      <c r="G17" s="1" t="s">
        <v>340</v>
      </c>
      <c r="H17" s="1" t="s">
        <v>341</v>
      </c>
      <c r="J17" s="14" t="s">
        <v>342</v>
      </c>
      <c r="K17" s="14"/>
      <c r="L17" s="14"/>
    </row>
    <row r="18" spans="1:15" x14ac:dyDescent="0.25">
      <c r="A18" s="4" t="s">
        <v>332</v>
      </c>
      <c r="B18" s="1" t="s">
        <v>343</v>
      </c>
      <c r="C18" s="1"/>
      <c r="D18" s="1"/>
      <c r="E18" s="1" t="s">
        <v>344</v>
      </c>
      <c r="F18" s="1"/>
      <c r="G18" s="1" t="s">
        <v>345</v>
      </c>
      <c r="H18" s="1" t="s">
        <v>346</v>
      </c>
      <c r="J18" s="14" t="s">
        <v>347</v>
      </c>
      <c r="K18" s="14"/>
      <c r="L18" s="14"/>
    </row>
    <row r="19" spans="1:15" x14ac:dyDescent="0.25">
      <c r="A19" s="4" t="s">
        <v>332</v>
      </c>
      <c r="B19" s="1" t="s">
        <v>348</v>
      </c>
      <c r="C19" s="1"/>
      <c r="D19" s="1"/>
      <c r="E19" s="1" t="s">
        <v>344</v>
      </c>
      <c r="F19" s="1"/>
      <c r="G19" s="1" t="s">
        <v>349</v>
      </c>
      <c r="H19" s="1" t="s">
        <v>350</v>
      </c>
      <c r="J19" s="14" t="s">
        <v>351</v>
      </c>
      <c r="K19" s="14"/>
      <c r="L19" s="14"/>
    </row>
    <row r="20" spans="1:15" x14ac:dyDescent="0.25">
      <c r="A20" s="4" t="s">
        <v>332</v>
      </c>
      <c r="B20" s="1" t="s">
        <v>352</v>
      </c>
      <c r="C20" s="1"/>
      <c r="D20" s="1"/>
      <c r="E20" s="1" t="s">
        <v>344</v>
      </c>
      <c r="F20" s="1"/>
      <c r="G20" s="1" t="s">
        <v>353</v>
      </c>
      <c r="H20" s="1" t="s">
        <v>354</v>
      </c>
    </row>
    <row r="21" spans="1:15" x14ac:dyDescent="0.25">
      <c r="A21" s="4" t="s">
        <v>332</v>
      </c>
      <c r="B21" s="1" t="s">
        <v>355</v>
      </c>
      <c r="C21" s="1"/>
      <c r="D21" s="1"/>
      <c r="E21" s="1" t="s">
        <v>344</v>
      </c>
      <c r="F21" s="1"/>
      <c r="G21" s="1" t="s">
        <v>356</v>
      </c>
      <c r="H21" s="1" t="s">
        <v>357</v>
      </c>
      <c r="J21" s="25" t="s">
        <v>358</v>
      </c>
      <c r="K21" s="25"/>
      <c r="L21" s="25"/>
      <c r="M21" s="25"/>
      <c r="N21" s="25"/>
      <c r="O21" s="25"/>
    </row>
    <row r="22" spans="1:15" x14ac:dyDescent="0.25">
      <c r="A22" s="4" t="s">
        <v>332</v>
      </c>
      <c r="B22" s="1" t="s">
        <v>359</v>
      </c>
      <c r="C22" s="1"/>
      <c r="D22" s="1"/>
      <c r="E22" s="1" t="s">
        <v>344</v>
      </c>
      <c r="F22" s="1"/>
      <c r="G22" s="1" t="s">
        <v>360</v>
      </c>
      <c r="H22" s="1" t="s">
        <v>361</v>
      </c>
      <c r="J22" s="25"/>
      <c r="K22" s="25"/>
      <c r="L22" s="25"/>
      <c r="M22" s="25"/>
      <c r="N22" s="25"/>
      <c r="O22" s="25"/>
    </row>
    <row r="23" spans="1:15" x14ac:dyDescent="0.25">
      <c r="A23" s="4" t="s">
        <v>332</v>
      </c>
      <c r="B23" s="1" t="s">
        <v>362</v>
      </c>
      <c r="C23" s="1"/>
      <c r="D23" s="1"/>
      <c r="E23" s="1" t="s">
        <v>344</v>
      </c>
      <c r="F23" s="1"/>
      <c r="G23" s="1" t="s">
        <v>363</v>
      </c>
      <c r="H23" s="1" t="s">
        <v>364</v>
      </c>
      <c r="J23" s="25"/>
      <c r="K23" s="25"/>
      <c r="L23" s="25"/>
      <c r="M23" s="25"/>
      <c r="N23" s="25"/>
      <c r="O23" s="25"/>
    </row>
    <row r="24" spans="1:15" x14ac:dyDescent="0.25">
      <c r="A24" s="4" t="s">
        <v>332</v>
      </c>
      <c r="B24" s="1" t="s">
        <v>365</v>
      </c>
      <c r="C24" s="1"/>
      <c r="D24" s="1"/>
      <c r="E24" s="1" t="s">
        <v>344</v>
      </c>
      <c r="F24" s="1"/>
      <c r="G24" s="1" t="s">
        <v>366</v>
      </c>
      <c r="H24" s="1" t="s">
        <v>367</v>
      </c>
      <c r="J24" s="25"/>
      <c r="K24" s="25"/>
      <c r="L24" s="25"/>
      <c r="M24" s="25"/>
      <c r="N24" s="25"/>
      <c r="O24" s="25"/>
    </row>
    <row r="25" spans="1:15" x14ac:dyDescent="0.25">
      <c r="A25" s="4" t="s">
        <v>332</v>
      </c>
      <c r="B25" s="1" t="s">
        <v>368</v>
      </c>
      <c r="C25" s="1"/>
      <c r="D25" s="1"/>
      <c r="E25" s="1" t="s">
        <v>344</v>
      </c>
      <c r="F25" s="1"/>
      <c r="G25" s="1" t="s">
        <v>369</v>
      </c>
      <c r="H25" s="1" t="s">
        <v>370</v>
      </c>
      <c r="J25" s="25"/>
      <c r="K25" s="25"/>
      <c r="L25" s="25"/>
      <c r="M25" s="25"/>
      <c r="N25" s="25"/>
      <c r="O25" s="25"/>
    </row>
    <row r="26" spans="1:15" x14ac:dyDescent="0.25">
      <c r="A26" s="4" t="s">
        <v>332</v>
      </c>
      <c r="B26" s="1" t="s">
        <v>371</v>
      </c>
      <c r="C26" s="1"/>
      <c r="D26" s="1"/>
      <c r="E26" s="1" t="s">
        <v>344</v>
      </c>
      <c r="F26" s="1"/>
      <c r="G26" s="1" t="s">
        <v>372</v>
      </c>
      <c r="H26" s="1" t="s">
        <v>373</v>
      </c>
      <c r="J26" s="25"/>
      <c r="K26" s="25"/>
      <c r="L26" s="25"/>
      <c r="M26" s="25"/>
      <c r="N26" s="25"/>
      <c r="O26" s="25"/>
    </row>
    <row r="27" spans="1:15" x14ac:dyDescent="0.25">
      <c r="A27" s="4" t="s">
        <v>332</v>
      </c>
      <c r="B27" s="1" t="s">
        <v>374</v>
      </c>
      <c r="C27" s="1"/>
      <c r="D27" s="1"/>
      <c r="E27" s="1" t="s">
        <v>344</v>
      </c>
      <c r="F27" s="1"/>
      <c r="G27" s="1" t="s">
        <v>375</v>
      </c>
      <c r="H27" s="1" t="s">
        <v>376</v>
      </c>
      <c r="J27" s="25"/>
      <c r="K27" s="25"/>
      <c r="L27" s="25"/>
      <c r="M27" s="25"/>
      <c r="N27" s="25"/>
      <c r="O27" s="25"/>
    </row>
    <row r="28" spans="1:15" x14ac:dyDescent="0.25">
      <c r="A28" s="4" t="s">
        <v>332</v>
      </c>
      <c r="B28" s="1" t="s">
        <v>377</v>
      </c>
      <c r="C28" s="1"/>
      <c r="D28" s="1"/>
      <c r="E28" s="1" t="s">
        <v>344</v>
      </c>
      <c r="F28" s="1"/>
      <c r="G28" s="1" t="s">
        <v>378</v>
      </c>
      <c r="H28" s="1" t="s">
        <v>379</v>
      </c>
      <c r="J28" s="25"/>
      <c r="K28" s="25"/>
      <c r="L28" s="25"/>
      <c r="M28" s="25"/>
      <c r="N28" s="25"/>
      <c r="O28" s="25"/>
    </row>
    <row r="29" spans="1:15" x14ac:dyDescent="0.25">
      <c r="A29" s="4" t="s">
        <v>332</v>
      </c>
      <c r="B29" s="1" t="s">
        <v>380</v>
      </c>
      <c r="C29" s="1"/>
      <c r="D29" s="1"/>
      <c r="E29" s="1" t="s">
        <v>344</v>
      </c>
      <c r="F29" s="1"/>
      <c r="G29" s="1" t="s">
        <v>381</v>
      </c>
      <c r="H29" s="1" t="s">
        <v>382</v>
      </c>
    </row>
    <row r="30" spans="1:15" x14ac:dyDescent="0.25">
      <c r="A30" s="4" t="s">
        <v>332</v>
      </c>
      <c r="B30" s="1" t="s">
        <v>383</v>
      </c>
      <c r="C30" s="1"/>
      <c r="D30" s="1"/>
      <c r="E30" s="1" t="s">
        <v>344</v>
      </c>
      <c r="F30" s="1"/>
      <c r="G30" s="1" t="s">
        <v>384</v>
      </c>
      <c r="H30" s="1" t="s">
        <v>385</v>
      </c>
      <c r="J30" s="25" t="s">
        <v>386</v>
      </c>
      <c r="K30" s="25"/>
      <c r="L30" s="25"/>
      <c r="M30" s="25"/>
      <c r="N30" s="25"/>
      <c r="O30" s="25"/>
    </row>
    <row r="31" spans="1:15" x14ac:dyDescent="0.25">
      <c r="A31" s="4" t="s">
        <v>332</v>
      </c>
      <c r="B31" s="1" t="s">
        <v>387</v>
      </c>
      <c r="C31" s="1"/>
      <c r="D31" s="1"/>
      <c r="E31" s="1" t="s">
        <v>344</v>
      </c>
      <c r="F31" s="1"/>
      <c r="G31" s="1" t="s">
        <v>388</v>
      </c>
      <c r="H31" s="1" t="s">
        <v>389</v>
      </c>
      <c r="J31" s="25"/>
      <c r="K31" s="25"/>
      <c r="L31" s="25"/>
      <c r="M31" s="25"/>
      <c r="N31" s="25"/>
      <c r="O31" s="25"/>
    </row>
    <row r="32" spans="1:15" x14ac:dyDescent="0.25">
      <c r="A32" s="4" t="s">
        <v>332</v>
      </c>
      <c r="B32" s="1" t="s">
        <v>390</v>
      </c>
      <c r="C32" s="1"/>
      <c r="D32" s="1"/>
      <c r="E32" s="1" t="s">
        <v>334</v>
      </c>
      <c r="F32" s="1"/>
      <c r="G32" s="1" t="s">
        <v>391</v>
      </c>
      <c r="H32" s="1" t="s">
        <v>392</v>
      </c>
      <c r="J32" s="25"/>
      <c r="K32" s="25"/>
      <c r="L32" s="25"/>
      <c r="M32" s="25"/>
      <c r="N32" s="25"/>
      <c r="O32" s="25"/>
    </row>
    <row r="33" spans="1:15" x14ac:dyDescent="0.25">
      <c r="A33" s="4" t="s">
        <v>332</v>
      </c>
      <c r="B33" s="1" t="s">
        <v>393</v>
      </c>
      <c r="C33" s="1"/>
      <c r="D33" s="1"/>
      <c r="E33" s="1" t="s">
        <v>334</v>
      </c>
      <c r="F33" s="1"/>
      <c r="G33" s="1" t="s">
        <v>394</v>
      </c>
      <c r="H33" s="1" t="s">
        <v>392</v>
      </c>
      <c r="J33" s="25"/>
      <c r="K33" s="25"/>
      <c r="L33" s="25"/>
      <c r="M33" s="25"/>
      <c r="N33" s="25"/>
      <c r="O33" s="25"/>
    </row>
    <row r="34" spans="1:15" x14ac:dyDescent="0.25">
      <c r="A34" s="4" t="s">
        <v>332</v>
      </c>
      <c r="B34" s="1" t="s">
        <v>395</v>
      </c>
      <c r="C34" s="1"/>
      <c r="D34" s="1"/>
      <c r="E34" s="1" t="s">
        <v>344</v>
      </c>
      <c r="F34" s="1"/>
      <c r="G34" s="1" t="s">
        <v>396</v>
      </c>
      <c r="H34" s="1" t="s">
        <v>397</v>
      </c>
      <c r="J34" s="25"/>
      <c r="K34" s="25"/>
      <c r="L34" s="25"/>
      <c r="M34" s="25"/>
      <c r="N34" s="25"/>
      <c r="O34" s="25"/>
    </row>
    <row r="35" spans="1:15" x14ac:dyDescent="0.25">
      <c r="A35" s="4" t="s">
        <v>332</v>
      </c>
      <c r="B35" s="1" t="s">
        <v>398</v>
      </c>
      <c r="C35" s="1"/>
      <c r="D35" s="1"/>
      <c r="E35" s="1" t="s">
        <v>344</v>
      </c>
      <c r="F35" s="1"/>
      <c r="G35" s="1" t="s">
        <v>399</v>
      </c>
      <c r="H35" s="1" t="s">
        <v>400</v>
      </c>
      <c r="J35" s="25"/>
      <c r="K35" s="25"/>
      <c r="L35" s="25"/>
      <c r="M35" s="25"/>
      <c r="N35" s="25"/>
      <c r="O35" s="25"/>
    </row>
    <row r="36" spans="1:15" x14ac:dyDescent="0.25">
      <c r="A36" s="4" t="s">
        <v>332</v>
      </c>
      <c r="B36" s="1" t="s">
        <v>401</v>
      </c>
      <c r="C36" s="1"/>
      <c r="D36" s="1"/>
      <c r="E36" s="1" t="s">
        <v>344</v>
      </c>
      <c r="F36" s="1"/>
      <c r="G36" s="1" t="s">
        <v>402</v>
      </c>
      <c r="H36" s="1" t="s">
        <v>397</v>
      </c>
      <c r="J36" s="25"/>
      <c r="K36" s="25"/>
      <c r="L36" s="25"/>
      <c r="M36" s="25"/>
      <c r="N36" s="25"/>
      <c r="O36" s="25"/>
    </row>
    <row r="37" spans="1:15" x14ac:dyDescent="0.25">
      <c r="A37" s="4" t="s">
        <v>332</v>
      </c>
      <c r="B37" s="1" t="s">
        <v>403</v>
      </c>
      <c r="C37" s="1"/>
      <c r="D37" s="1"/>
      <c r="E37" s="1" t="s">
        <v>344</v>
      </c>
      <c r="F37" s="1"/>
      <c r="G37" s="1" t="s">
        <v>404</v>
      </c>
      <c r="H37" s="1" t="s">
        <v>405</v>
      </c>
      <c r="J37" s="25"/>
      <c r="K37" s="25"/>
      <c r="L37" s="25"/>
      <c r="M37" s="25"/>
      <c r="N37" s="25"/>
      <c r="O37" s="25"/>
    </row>
    <row r="38" spans="1:15" x14ac:dyDescent="0.25">
      <c r="A38" s="4" t="s">
        <v>332</v>
      </c>
      <c r="B38" s="1" t="s">
        <v>406</v>
      </c>
      <c r="C38" s="1"/>
      <c r="D38" s="1"/>
      <c r="E38" s="1" t="s">
        <v>344</v>
      </c>
      <c r="F38" s="1"/>
      <c r="G38" s="1" t="s">
        <v>407</v>
      </c>
      <c r="H38" s="1" t="s">
        <v>408</v>
      </c>
    </row>
    <row r="39" spans="1:15" x14ac:dyDescent="0.25">
      <c r="A39" s="4" t="s">
        <v>332</v>
      </c>
      <c r="B39" s="1" t="s">
        <v>409</v>
      </c>
      <c r="C39" s="1"/>
      <c r="D39" s="1"/>
      <c r="E39" s="1" t="s">
        <v>344</v>
      </c>
      <c r="F39" s="1"/>
      <c r="G39" s="1" t="s">
        <v>410</v>
      </c>
      <c r="H39" s="1" t="s">
        <v>411</v>
      </c>
      <c r="J39" s="25" t="s">
        <v>412</v>
      </c>
      <c r="K39" s="25"/>
      <c r="L39" s="25"/>
      <c r="M39" s="25"/>
      <c r="N39" s="25"/>
      <c r="O39" s="25"/>
    </row>
    <row r="40" spans="1:15" x14ac:dyDescent="0.25">
      <c r="A40" s="4" t="s">
        <v>332</v>
      </c>
      <c r="B40" s="1" t="s">
        <v>413</v>
      </c>
      <c r="C40" s="1"/>
      <c r="D40" s="1"/>
      <c r="E40" s="1" t="s">
        <v>344</v>
      </c>
      <c r="F40" s="1"/>
      <c r="G40" s="1" t="s">
        <v>414</v>
      </c>
      <c r="H40" s="1" t="s">
        <v>415</v>
      </c>
      <c r="J40" s="25"/>
      <c r="K40" s="25"/>
      <c r="L40" s="25"/>
      <c r="M40" s="25"/>
      <c r="N40" s="25"/>
      <c r="O40" s="25"/>
    </row>
    <row r="41" spans="1:15" x14ac:dyDescent="0.25">
      <c r="A41" s="4" t="s">
        <v>332</v>
      </c>
      <c r="B41" s="1" t="s">
        <v>416</v>
      </c>
      <c r="C41" s="1"/>
      <c r="D41" s="1"/>
      <c r="E41" s="1" t="s">
        <v>344</v>
      </c>
      <c r="F41" s="1"/>
      <c r="G41" s="1" t="s">
        <v>417</v>
      </c>
      <c r="H41" s="1" t="s">
        <v>418</v>
      </c>
      <c r="J41" s="25"/>
      <c r="K41" s="25"/>
      <c r="L41" s="25"/>
      <c r="M41" s="25"/>
      <c r="N41" s="25"/>
      <c r="O41" s="25"/>
    </row>
    <row r="42" spans="1:15" x14ac:dyDescent="0.25">
      <c r="A42" s="4" t="s">
        <v>332</v>
      </c>
      <c r="B42" s="1" t="s">
        <v>419</v>
      </c>
      <c r="C42" s="1"/>
      <c r="D42" s="1"/>
      <c r="E42" s="1" t="s">
        <v>344</v>
      </c>
      <c r="F42" s="1"/>
      <c r="G42" s="1" t="s">
        <v>420</v>
      </c>
      <c r="H42" s="1" t="s">
        <v>421</v>
      </c>
      <c r="J42" s="25"/>
      <c r="K42" s="25"/>
      <c r="L42" s="25"/>
      <c r="M42" s="25"/>
      <c r="N42" s="25"/>
      <c r="O42" s="25"/>
    </row>
    <row r="43" spans="1:15" x14ac:dyDescent="0.25">
      <c r="A43" s="4" t="s">
        <v>332</v>
      </c>
      <c r="B43" s="1" t="s">
        <v>317</v>
      </c>
      <c r="C43" s="1"/>
      <c r="D43" s="1"/>
      <c r="E43" s="1" t="s">
        <v>334</v>
      </c>
      <c r="F43" s="1"/>
      <c r="G43" s="1" t="s">
        <v>422</v>
      </c>
      <c r="H43" s="1" t="s">
        <v>423</v>
      </c>
      <c r="J43" s="25"/>
      <c r="K43" s="25"/>
      <c r="L43" s="25"/>
      <c r="M43" s="25"/>
      <c r="N43" s="25"/>
      <c r="O43" s="25"/>
    </row>
    <row r="44" spans="1:15" x14ac:dyDescent="0.25">
      <c r="A44" s="4" t="s">
        <v>332</v>
      </c>
      <c r="B44" s="1" t="s">
        <v>424</v>
      </c>
      <c r="C44" s="1"/>
      <c r="D44" s="1"/>
      <c r="E44" s="1" t="s">
        <v>334</v>
      </c>
      <c r="F44" s="1"/>
      <c r="G44" s="1" t="s">
        <v>425</v>
      </c>
      <c r="H44" s="1" t="s">
        <v>426</v>
      </c>
      <c r="J44" s="25"/>
      <c r="K44" s="25"/>
      <c r="L44" s="25"/>
      <c r="M44" s="25"/>
      <c r="N44" s="25"/>
      <c r="O44" s="25"/>
    </row>
    <row r="45" spans="1:15" x14ac:dyDescent="0.25">
      <c r="A45" s="4" t="s">
        <v>332</v>
      </c>
      <c r="B45" s="1" t="s">
        <v>427</v>
      </c>
      <c r="C45" s="1"/>
      <c r="D45" s="1"/>
      <c r="E45" s="1" t="s">
        <v>334</v>
      </c>
      <c r="F45" s="1"/>
      <c r="G45" s="1" t="s">
        <v>428</v>
      </c>
      <c r="H45" s="1" t="s">
        <v>429</v>
      </c>
      <c r="J45" s="25"/>
      <c r="K45" s="25"/>
      <c r="L45" s="25"/>
      <c r="M45" s="25"/>
      <c r="N45" s="25"/>
      <c r="O45" s="25"/>
    </row>
    <row r="46" spans="1:15" x14ac:dyDescent="0.25">
      <c r="A46" s="4" t="s">
        <v>332</v>
      </c>
      <c r="B46" s="1" t="s">
        <v>430</v>
      </c>
      <c r="C46" s="1"/>
      <c r="D46" s="1"/>
      <c r="E46" s="1" t="s">
        <v>344</v>
      </c>
      <c r="F46" s="1"/>
      <c r="G46" s="1" t="s">
        <v>431</v>
      </c>
      <c r="H46" s="1" t="s">
        <v>432</v>
      </c>
      <c r="J46" s="25"/>
      <c r="K46" s="25"/>
      <c r="L46" s="25"/>
      <c r="M46" s="25"/>
      <c r="N46" s="25"/>
      <c r="O46" s="25"/>
    </row>
    <row r="47" spans="1:15" x14ac:dyDescent="0.25">
      <c r="A47" s="4" t="s">
        <v>332</v>
      </c>
      <c r="B47" s="1" t="s">
        <v>433</v>
      </c>
      <c r="C47" s="1"/>
      <c r="D47" s="1"/>
      <c r="E47" s="1" t="s">
        <v>344</v>
      </c>
      <c r="F47" s="1"/>
      <c r="G47" s="1" t="s">
        <v>434</v>
      </c>
      <c r="H47" s="1" t="s">
        <v>435</v>
      </c>
    </row>
    <row r="48" spans="1:15" x14ac:dyDescent="0.25">
      <c r="A48" s="4" t="s">
        <v>332</v>
      </c>
      <c r="B48" s="1" t="s">
        <v>436</v>
      </c>
      <c r="C48" s="1"/>
      <c r="D48" s="1"/>
      <c r="E48" s="1" t="s">
        <v>334</v>
      </c>
      <c r="F48" s="1"/>
      <c r="G48" s="1" t="s">
        <v>437</v>
      </c>
      <c r="H48" s="1" t="s">
        <v>438</v>
      </c>
    </row>
    <row r="49" spans="1:15" x14ac:dyDescent="0.25">
      <c r="A49" s="4" t="s">
        <v>332</v>
      </c>
      <c r="B49" s="1" t="s">
        <v>439</v>
      </c>
      <c r="C49" s="1"/>
      <c r="D49" s="1"/>
      <c r="E49" s="1" t="s">
        <v>334</v>
      </c>
      <c r="F49" s="1"/>
      <c r="G49" s="1" t="s">
        <v>440</v>
      </c>
      <c r="H49" s="1" t="s">
        <v>441</v>
      </c>
    </row>
    <row r="50" spans="1:15" x14ac:dyDescent="0.25">
      <c r="A50" s="4" t="s">
        <v>332</v>
      </c>
      <c r="B50" s="1" t="s">
        <v>442</v>
      </c>
      <c r="C50" s="1"/>
      <c r="D50" s="1"/>
      <c r="E50" s="1" t="s">
        <v>344</v>
      </c>
      <c r="F50" s="1"/>
      <c r="G50" s="1" t="s">
        <v>443</v>
      </c>
      <c r="H50" s="1" t="s">
        <v>444</v>
      </c>
    </row>
    <row r="51" spans="1:15" x14ac:dyDescent="0.25">
      <c r="A51" s="4" t="s">
        <v>332</v>
      </c>
      <c r="B51" s="1" t="s">
        <v>445</v>
      </c>
      <c r="C51" s="1"/>
      <c r="D51" s="1"/>
      <c r="E51" s="1" t="s">
        <v>344</v>
      </c>
      <c r="F51" s="1"/>
      <c r="G51" s="1" t="s">
        <v>446</v>
      </c>
      <c r="H51" s="1" t="s">
        <v>447</v>
      </c>
    </row>
    <row r="52" spans="1:15" x14ac:dyDescent="0.25">
      <c r="A52" s="4" t="s">
        <v>332</v>
      </c>
      <c r="B52" s="1" t="s">
        <v>448</v>
      </c>
      <c r="C52" s="1"/>
      <c r="D52" s="1"/>
      <c r="E52" s="1" t="s">
        <v>334</v>
      </c>
      <c r="F52" s="1"/>
      <c r="G52" s="1" t="s">
        <v>449</v>
      </c>
      <c r="H52" s="1" t="s">
        <v>450</v>
      </c>
    </row>
    <row r="53" spans="1:15" x14ac:dyDescent="0.25">
      <c r="A53" s="4" t="s">
        <v>332</v>
      </c>
      <c r="B53" s="2" t="s">
        <v>451</v>
      </c>
      <c r="C53" s="15"/>
      <c r="D53" s="15"/>
      <c r="E53" s="15" t="s">
        <v>334</v>
      </c>
      <c r="F53" s="15"/>
      <c r="G53" s="15" t="s">
        <v>452</v>
      </c>
      <c r="H53" s="16" t="s">
        <v>453</v>
      </c>
    </row>
    <row r="54" spans="1:15" x14ac:dyDescent="0.25">
      <c r="A54" s="4" t="s">
        <v>332</v>
      </c>
      <c r="B54" s="2" t="s">
        <v>319</v>
      </c>
      <c r="C54" s="15"/>
      <c r="D54" s="15"/>
      <c r="E54" s="15" t="s">
        <v>334</v>
      </c>
      <c r="F54" s="15"/>
      <c r="G54" s="15" t="s">
        <v>454</v>
      </c>
      <c r="H54" s="16" t="s">
        <v>453</v>
      </c>
    </row>
    <row r="55" spans="1:15" x14ac:dyDescent="0.25">
      <c r="A55" s="4" t="s">
        <v>332</v>
      </c>
      <c r="B55" s="2" t="s">
        <v>455</v>
      </c>
      <c r="C55" s="15"/>
      <c r="D55" s="15"/>
      <c r="E55" s="15" t="s">
        <v>334</v>
      </c>
      <c r="F55" s="15"/>
      <c r="G55" s="15" t="s">
        <v>456</v>
      </c>
      <c r="H55" s="16" t="s">
        <v>453</v>
      </c>
    </row>
    <row r="56" spans="1:15" x14ac:dyDescent="0.25">
      <c r="B56" s="29" t="s">
        <v>457</v>
      </c>
      <c r="C56" s="30"/>
      <c r="D56" s="30"/>
      <c r="E56" s="30"/>
      <c r="F56" s="30"/>
      <c r="G56" s="30"/>
      <c r="H56" s="31"/>
    </row>
    <row r="57" spans="1:15" x14ac:dyDescent="0.25">
      <c r="A57" s="4" t="s">
        <v>332</v>
      </c>
      <c r="B57" s="1" t="s">
        <v>327</v>
      </c>
      <c r="C57" s="1"/>
      <c r="D57" s="1"/>
      <c r="E57" s="1" t="s">
        <v>458</v>
      </c>
      <c r="F57" s="1"/>
      <c r="G57" s="1"/>
      <c r="H57" s="1"/>
    </row>
    <row r="58" spans="1:15" x14ac:dyDescent="0.25">
      <c r="A58" s="4" t="s">
        <v>332</v>
      </c>
      <c r="B58" s="1" t="s">
        <v>459</v>
      </c>
      <c r="C58" s="1" t="s">
        <v>460</v>
      </c>
      <c r="D58" s="1" t="s">
        <v>461</v>
      </c>
      <c r="E58" s="1" t="s">
        <v>334</v>
      </c>
      <c r="F58" s="1"/>
      <c r="G58" s="1"/>
      <c r="H58" s="17" t="s">
        <v>462</v>
      </c>
      <c r="J58" s="25" t="s">
        <v>463</v>
      </c>
      <c r="K58" s="25"/>
      <c r="L58" s="25"/>
      <c r="M58" s="25"/>
      <c r="N58" s="25"/>
      <c r="O58" s="25"/>
    </row>
    <row r="59" spans="1:15" x14ac:dyDescent="0.25">
      <c r="A59" s="4" t="s">
        <v>332</v>
      </c>
      <c r="B59" s="1" t="s">
        <v>464</v>
      </c>
      <c r="C59" s="1"/>
      <c r="D59" s="1"/>
      <c r="E59" s="1" t="s">
        <v>465</v>
      </c>
      <c r="F59" s="1"/>
      <c r="G59" s="10">
        <v>27059</v>
      </c>
      <c r="H59" s="1"/>
      <c r="J59" s="25"/>
      <c r="K59" s="25"/>
      <c r="L59" s="25"/>
      <c r="M59" s="25"/>
      <c r="N59" s="25"/>
      <c r="O59" s="25"/>
    </row>
    <row r="60" spans="1:15" x14ac:dyDescent="0.25">
      <c r="A60" s="4" t="s">
        <v>332</v>
      </c>
      <c r="B60" s="1" t="s">
        <v>466</v>
      </c>
      <c r="C60" s="1"/>
      <c r="D60" s="1"/>
      <c r="E60" s="1" t="s">
        <v>458</v>
      </c>
      <c r="F60" s="1" t="s">
        <v>467</v>
      </c>
      <c r="G60" s="1" t="s">
        <v>468</v>
      </c>
      <c r="H60" s="1"/>
      <c r="J60" s="25"/>
      <c r="K60" s="25"/>
      <c r="L60" s="25"/>
      <c r="M60" s="25"/>
      <c r="N60" s="25"/>
      <c r="O60" s="25"/>
    </row>
    <row r="61" spans="1:15" x14ac:dyDescent="0.25">
      <c r="A61" s="4" t="s">
        <v>332</v>
      </c>
      <c r="B61" s="1" t="s">
        <v>469</v>
      </c>
      <c r="C61" s="1"/>
      <c r="D61" s="1"/>
      <c r="E61" s="1" t="s">
        <v>334</v>
      </c>
      <c r="F61" s="1"/>
      <c r="G61" s="1" t="s">
        <v>470</v>
      </c>
      <c r="H61" s="1"/>
      <c r="J61" s="25"/>
      <c r="K61" s="25"/>
      <c r="L61" s="25"/>
      <c r="M61" s="25"/>
      <c r="N61" s="25"/>
      <c r="O61" s="25"/>
    </row>
    <row r="62" spans="1:15" x14ac:dyDescent="0.25">
      <c r="A62" s="4" t="s">
        <v>332</v>
      </c>
      <c r="B62" s="1" t="s">
        <v>471</v>
      </c>
      <c r="C62" s="1"/>
      <c r="D62" s="1"/>
      <c r="E62" s="1" t="s">
        <v>334</v>
      </c>
      <c r="F62" s="1"/>
      <c r="G62" s="1" t="s">
        <v>472</v>
      </c>
      <c r="H62" s="1"/>
      <c r="J62" s="25"/>
      <c r="K62" s="25"/>
      <c r="L62" s="25"/>
      <c r="M62" s="25"/>
      <c r="N62" s="25"/>
      <c r="O62" s="25"/>
    </row>
    <row r="63" spans="1:15" x14ac:dyDescent="0.25">
      <c r="A63" s="4" t="s">
        <v>332</v>
      </c>
      <c r="B63" s="1" t="s">
        <v>473</v>
      </c>
      <c r="C63" s="1"/>
      <c r="D63" s="1"/>
      <c r="E63" s="1" t="s">
        <v>458</v>
      </c>
      <c r="F63" s="1"/>
      <c r="G63" s="1" t="s">
        <v>474</v>
      </c>
      <c r="H63" s="1"/>
      <c r="J63" s="25"/>
      <c r="K63" s="25"/>
      <c r="L63" s="25"/>
      <c r="M63" s="25"/>
      <c r="N63" s="25"/>
      <c r="O63" s="25"/>
    </row>
    <row r="64" spans="1:15" x14ac:dyDescent="0.25">
      <c r="A64" s="4" t="s">
        <v>332</v>
      </c>
      <c r="B64" s="1" t="s">
        <v>475</v>
      </c>
      <c r="C64" s="1"/>
      <c r="D64" s="1"/>
      <c r="E64" s="1" t="s">
        <v>334</v>
      </c>
      <c r="F64" s="1" t="s">
        <v>476</v>
      </c>
      <c r="G64" s="1" t="b">
        <v>1</v>
      </c>
      <c r="H64" s="1"/>
      <c r="J64" s="25"/>
      <c r="K64" s="25"/>
      <c r="L64" s="25"/>
      <c r="M64" s="25"/>
      <c r="N64" s="25"/>
      <c r="O64" s="25"/>
    </row>
    <row r="65" spans="1:15" x14ac:dyDescent="0.25">
      <c r="A65" s="4" t="s">
        <v>332</v>
      </c>
      <c r="B65" s="1" t="s">
        <v>477</v>
      </c>
      <c r="C65" s="1"/>
      <c r="D65" s="1"/>
      <c r="E65" s="1" t="s">
        <v>458</v>
      </c>
      <c r="F65" s="1" t="s">
        <v>478</v>
      </c>
      <c r="G65" s="1" t="s">
        <v>479</v>
      </c>
      <c r="H65" s="1"/>
      <c r="J65" s="25"/>
      <c r="K65" s="25"/>
      <c r="L65" s="25"/>
      <c r="M65" s="25"/>
      <c r="N65" s="25"/>
      <c r="O65" s="25"/>
    </row>
    <row r="66" spans="1:15" x14ac:dyDescent="0.25">
      <c r="A66" s="4" t="s">
        <v>332</v>
      </c>
      <c r="B66" s="1" t="s">
        <v>480</v>
      </c>
      <c r="C66" s="1"/>
      <c r="D66" s="1"/>
      <c r="E66" s="1" t="s">
        <v>458</v>
      </c>
      <c r="F66" s="1" t="s">
        <v>481</v>
      </c>
      <c r="G66" s="1">
        <v>25</v>
      </c>
      <c r="H66" s="1"/>
    </row>
    <row r="67" spans="1:15" x14ac:dyDescent="0.25">
      <c r="A67" s="4" t="s">
        <v>332</v>
      </c>
      <c r="B67" s="1" t="s">
        <v>482</v>
      </c>
      <c r="C67" s="1"/>
      <c r="D67" s="1"/>
      <c r="E67" s="1" t="s">
        <v>334</v>
      </c>
      <c r="F67" s="1"/>
      <c r="G67" s="1"/>
      <c r="H67" s="1"/>
    </row>
    <row r="68" spans="1:15" x14ac:dyDescent="0.25">
      <c r="A68" s="4" t="s">
        <v>332</v>
      </c>
      <c r="B68" s="1" t="s">
        <v>483</v>
      </c>
      <c r="C68" s="1"/>
      <c r="D68" s="1"/>
      <c r="E68" s="1" t="s">
        <v>465</v>
      </c>
      <c r="F68" s="1"/>
      <c r="G68" s="10">
        <v>23011</v>
      </c>
      <c r="H68" s="1"/>
    </row>
    <row r="69" spans="1:15" x14ac:dyDescent="0.25">
      <c r="B69" s="3" t="s">
        <v>484</v>
      </c>
    </row>
  </sheetData>
  <mergeCells count="7">
    <mergeCell ref="J58:O65"/>
    <mergeCell ref="B1:H1"/>
    <mergeCell ref="B14:H14"/>
    <mergeCell ref="B56:H56"/>
    <mergeCell ref="J21:O28"/>
    <mergeCell ref="J30:O37"/>
    <mergeCell ref="J39:O4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78"/>
  <sheetViews>
    <sheetView workbookViewId="0">
      <pane ySplit="13" topLeftCell="A14" activePane="bottomLeft" state="frozenSplit"/>
      <selection activeCell="C34" sqref="C34 C34"/>
      <selection pane="bottomLeft"/>
    </sheetView>
  </sheetViews>
  <sheetFormatPr defaultColWidth="9.140625" defaultRowHeight="14.3" x14ac:dyDescent="0.25"/>
  <cols>
    <col min="1" max="1" width="9.140625" style="4" customWidth="1"/>
    <col min="2" max="2" width="29" style="4" customWidth="1"/>
    <col min="3" max="3" width="17.7109375" style="4" customWidth="1"/>
    <col min="4" max="4" width="19.42578125" style="4" customWidth="1"/>
    <col min="5" max="5" width="71.28515625" style="4" customWidth="1"/>
    <col min="6" max="6" width="54.85546875" style="4" customWidth="1"/>
    <col min="7" max="7" width="9.140625" style="4" customWidth="1"/>
    <col min="8" max="16384" width="9.140625" style="4"/>
  </cols>
  <sheetData>
    <row r="1" spans="1:6" ht="15" x14ac:dyDescent="0.25">
      <c r="B1" s="26" t="s">
        <v>301</v>
      </c>
      <c r="C1" s="27"/>
      <c r="D1" s="27"/>
      <c r="E1" s="27"/>
      <c r="F1" s="28"/>
    </row>
    <row r="2" spans="1:6" ht="15" x14ac:dyDescent="0.25">
      <c r="A2" s="4" t="s">
        <v>302</v>
      </c>
      <c r="B2" s="11" t="s">
        <v>303</v>
      </c>
      <c r="E2" s="4" t="s">
        <v>304</v>
      </c>
    </row>
    <row r="3" spans="1:6" ht="15" x14ac:dyDescent="0.25">
      <c r="A3" s="4" t="s">
        <v>302</v>
      </c>
      <c r="B3" s="11" t="s">
        <v>305</v>
      </c>
      <c r="E3" s="4" t="s">
        <v>306</v>
      </c>
    </row>
    <row r="4" spans="1:6" ht="15" x14ac:dyDescent="0.25">
      <c r="A4" s="4" t="s">
        <v>302</v>
      </c>
      <c r="B4" s="11" t="s">
        <v>307</v>
      </c>
      <c r="E4" s="4" t="s">
        <v>308</v>
      </c>
    </row>
    <row r="5" spans="1:6" ht="15" x14ac:dyDescent="0.25">
      <c r="A5" s="4" t="s">
        <v>302</v>
      </c>
      <c r="B5" s="11" t="s">
        <v>309</v>
      </c>
      <c r="E5" s="4" t="s">
        <v>310</v>
      </c>
    </row>
    <row r="6" spans="1:6" ht="15" x14ac:dyDescent="0.25">
      <c r="A6" s="4" t="s">
        <v>302</v>
      </c>
      <c r="B6" s="11" t="s">
        <v>311</v>
      </c>
      <c r="E6" s="4" t="s">
        <v>312</v>
      </c>
    </row>
    <row r="7" spans="1:6" ht="15" x14ac:dyDescent="0.25">
      <c r="A7" s="4" t="s">
        <v>302</v>
      </c>
      <c r="B7" s="11" t="s">
        <v>313</v>
      </c>
      <c r="E7" s="4" t="s">
        <v>314</v>
      </c>
    </row>
    <row r="8" spans="1:6" ht="15" x14ac:dyDescent="0.25">
      <c r="A8" s="4" t="s">
        <v>302</v>
      </c>
      <c r="B8" s="11" t="s">
        <v>315</v>
      </c>
      <c r="E8" s="4" t="s">
        <v>316</v>
      </c>
    </row>
    <row r="9" spans="1:6" ht="15" x14ac:dyDescent="0.25">
      <c r="A9" s="4" t="s">
        <v>302</v>
      </c>
      <c r="B9" s="11" t="s">
        <v>317</v>
      </c>
      <c r="E9" s="4" t="s">
        <v>318</v>
      </c>
    </row>
    <row r="10" spans="1:6" ht="15" x14ac:dyDescent="0.25">
      <c r="A10" s="4" t="s">
        <v>302</v>
      </c>
      <c r="B10" s="11" t="s">
        <v>319</v>
      </c>
      <c r="E10" s="4" t="s">
        <v>320</v>
      </c>
    </row>
    <row r="11" spans="1:6" ht="15" x14ac:dyDescent="0.25">
      <c r="B11" s="11"/>
      <c r="C11" s="12" t="s">
        <v>322</v>
      </c>
      <c r="D11" s="12"/>
      <c r="E11" s="11"/>
      <c r="F11" s="11"/>
    </row>
    <row r="12" spans="1:6" ht="15" x14ac:dyDescent="0.25">
      <c r="B12" s="12" t="s">
        <v>323</v>
      </c>
      <c r="C12" s="11"/>
      <c r="D12" s="11"/>
      <c r="E12" s="11"/>
      <c r="F12" s="11"/>
    </row>
    <row r="13" spans="1:6" ht="15" x14ac:dyDescent="0.25">
      <c r="B13" s="13" t="s">
        <v>324</v>
      </c>
      <c r="C13" s="13" t="s">
        <v>327</v>
      </c>
      <c r="D13" s="13" t="s">
        <v>328</v>
      </c>
      <c r="E13" s="13" t="s">
        <v>329</v>
      </c>
      <c r="F13" s="13" t="s">
        <v>330</v>
      </c>
    </row>
    <row r="14" spans="1:6" ht="15" x14ac:dyDescent="0.25">
      <c r="B14" s="29" t="s">
        <v>331</v>
      </c>
      <c r="C14" s="30"/>
      <c r="D14" s="30"/>
      <c r="E14" s="30"/>
      <c r="F14" s="31"/>
    </row>
    <row r="15" spans="1:6" ht="15" x14ac:dyDescent="0.25">
      <c r="A15" s="4" t="s">
        <v>332</v>
      </c>
      <c r="B15" s="1" t="s">
        <v>333</v>
      </c>
      <c r="C15" s="1" t="s">
        <v>485</v>
      </c>
      <c r="D15" s="1"/>
      <c r="E15" s="1" t="s">
        <v>485</v>
      </c>
      <c r="F15" s="1" t="s">
        <v>336</v>
      </c>
    </row>
    <row r="16" spans="1:6" ht="15" x14ac:dyDescent="0.25">
      <c r="A16" s="4" t="s">
        <v>332</v>
      </c>
      <c r="B16" s="1" t="s">
        <v>337</v>
      </c>
      <c r="C16" s="1" t="s">
        <v>485</v>
      </c>
      <c r="D16" s="1"/>
      <c r="E16" s="1" t="s">
        <v>485</v>
      </c>
      <c r="F16" s="1" t="s">
        <v>336</v>
      </c>
    </row>
    <row r="17" spans="1:13" ht="15" x14ac:dyDescent="0.25">
      <c r="A17" s="4" t="s">
        <v>332</v>
      </c>
      <c r="B17" s="1" t="s">
        <v>339</v>
      </c>
      <c r="C17" s="1" t="s">
        <v>485</v>
      </c>
      <c r="D17" s="1"/>
      <c r="E17" s="1" t="s">
        <v>485</v>
      </c>
      <c r="F17" s="1" t="s">
        <v>341</v>
      </c>
      <c r="H17" s="14" t="s">
        <v>342</v>
      </c>
      <c r="I17" s="14"/>
      <c r="J17" s="14"/>
    </row>
    <row r="18" spans="1:13" ht="15" x14ac:dyDescent="0.25">
      <c r="A18" s="4" t="s">
        <v>332</v>
      </c>
      <c r="B18" s="1" t="s">
        <v>343</v>
      </c>
      <c r="C18" s="1" t="s">
        <v>485</v>
      </c>
      <c r="D18" s="1"/>
      <c r="E18" s="1" t="s">
        <v>485</v>
      </c>
      <c r="F18" s="1" t="s">
        <v>346</v>
      </c>
      <c r="H18" s="14" t="s">
        <v>347</v>
      </c>
      <c r="I18" s="14"/>
      <c r="J18" s="14"/>
    </row>
    <row r="19" spans="1:13" ht="15" x14ac:dyDescent="0.25">
      <c r="A19" s="4" t="s">
        <v>332</v>
      </c>
      <c r="B19" s="1" t="s">
        <v>348</v>
      </c>
      <c r="C19" s="1" t="s">
        <v>485</v>
      </c>
      <c r="D19" s="1"/>
      <c r="E19" s="1" t="s">
        <v>485</v>
      </c>
      <c r="F19" s="1" t="s">
        <v>350</v>
      </c>
      <c r="H19" s="14" t="s">
        <v>351</v>
      </c>
      <c r="I19" s="14"/>
      <c r="J19" s="14"/>
    </row>
    <row r="20" spans="1:13" ht="15" x14ac:dyDescent="0.25">
      <c r="A20" s="4" t="s">
        <v>332</v>
      </c>
      <c r="B20" s="1" t="s">
        <v>352</v>
      </c>
      <c r="C20" s="1" t="s">
        <v>485</v>
      </c>
      <c r="D20" s="1"/>
      <c r="E20" s="1" t="s">
        <v>485</v>
      </c>
      <c r="F20" s="1" t="s">
        <v>354</v>
      </c>
    </row>
    <row r="21" spans="1:13" x14ac:dyDescent="0.25">
      <c r="A21" s="4" t="s">
        <v>332</v>
      </c>
      <c r="B21" s="1" t="s">
        <v>355</v>
      </c>
      <c r="C21" s="1" t="s">
        <v>485</v>
      </c>
      <c r="D21" s="1"/>
      <c r="E21" s="1" t="s">
        <v>485</v>
      </c>
      <c r="F21" s="1" t="s">
        <v>357</v>
      </c>
      <c r="H21" s="25" t="s">
        <v>358</v>
      </c>
      <c r="I21" s="25"/>
      <c r="J21" s="25"/>
      <c r="K21" s="25"/>
      <c r="L21" s="25"/>
      <c r="M21" s="25"/>
    </row>
    <row r="22" spans="1:13" x14ac:dyDescent="0.25">
      <c r="A22" s="4" t="s">
        <v>332</v>
      </c>
      <c r="B22" s="1" t="s">
        <v>359</v>
      </c>
      <c r="C22" s="1" t="s">
        <v>485</v>
      </c>
      <c r="D22" s="1"/>
      <c r="E22" s="1" t="s">
        <v>485</v>
      </c>
      <c r="F22" s="1" t="s">
        <v>361</v>
      </c>
      <c r="H22" s="25"/>
      <c r="I22" s="25"/>
      <c r="J22" s="25"/>
      <c r="K22" s="25"/>
      <c r="L22" s="25"/>
      <c r="M22" s="25"/>
    </row>
    <row r="23" spans="1:13" x14ac:dyDescent="0.25">
      <c r="A23" s="4" t="s">
        <v>332</v>
      </c>
      <c r="B23" s="1" t="s">
        <v>362</v>
      </c>
      <c r="C23" s="1" t="s">
        <v>485</v>
      </c>
      <c r="D23" s="1"/>
      <c r="E23" s="1" t="s">
        <v>485</v>
      </c>
      <c r="F23" s="1" t="s">
        <v>364</v>
      </c>
      <c r="H23" s="25"/>
      <c r="I23" s="25"/>
      <c r="J23" s="25"/>
      <c r="K23" s="25"/>
      <c r="L23" s="25"/>
      <c r="M23" s="25"/>
    </row>
    <row r="24" spans="1:13" x14ac:dyDescent="0.25">
      <c r="A24" s="4" t="s">
        <v>332</v>
      </c>
      <c r="B24" s="1" t="s">
        <v>365</v>
      </c>
      <c r="C24" s="1" t="s">
        <v>485</v>
      </c>
      <c r="D24" s="1"/>
      <c r="E24" s="1" t="s">
        <v>485</v>
      </c>
      <c r="F24" s="1" t="s">
        <v>367</v>
      </c>
      <c r="H24" s="25"/>
      <c r="I24" s="25"/>
      <c r="J24" s="25"/>
      <c r="K24" s="25"/>
      <c r="L24" s="25"/>
      <c r="M24" s="25"/>
    </row>
    <row r="25" spans="1:13" x14ac:dyDescent="0.25">
      <c r="A25" s="4" t="s">
        <v>332</v>
      </c>
      <c r="B25" s="1" t="s">
        <v>368</v>
      </c>
      <c r="C25" s="1" t="s">
        <v>485</v>
      </c>
      <c r="D25" s="1"/>
      <c r="E25" s="1" t="s">
        <v>485</v>
      </c>
      <c r="F25" s="1" t="s">
        <v>370</v>
      </c>
      <c r="H25" s="25"/>
      <c r="I25" s="25"/>
      <c r="J25" s="25"/>
      <c r="K25" s="25"/>
      <c r="L25" s="25"/>
      <c r="M25" s="25"/>
    </row>
    <row r="26" spans="1:13" x14ac:dyDescent="0.25">
      <c r="A26" s="4" t="s">
        <v>332</v>
      </c>
      <c r="B26" s="1" t="s">
        <v>371</v>
      </c>
      <c r="C26" s="1" t="s">
        <v>485</v>
      </c>
      <c r="D26" s="1"/>
      <c r="E26" s="1" t="s">
        <v>485</v>
      </c>
      <c r="F26" s="1" t="s">
        <v>373</v>
      </c>
      <c r="H26" s="25"/>
      <c r="I26" s="25"/>
      <c r="J26" s="25"/>
      <c r="K26" s="25"/>
      <c r="L26" s="25"/>
      <c r="M26" s="25"/>
    </row>
    <row r="27" spans="1:13" x14ac:dyDescent="0.25">
      <c r="A27" s="4" t="s">
        <v>332</v>
      </c>
      <c r="B27" s="1" t="s">
        <v>374</v>
      </c>
      <c r="C27" s="1" t="s">
        <v>485</v>
      </c>
      <c r="D27" s="1"/>
      <c r="E27" s="1" t="s">
        <v>485</v>
      </c>
      <c r="F27" s="1" t="s">
        <v>376</v>
      </c>
      <c r="H27" s="25"/>
      <c r="I27" s="25"/>
      <c r="J27" s="25"/>
      <c r="K27" s="25"/>
      <c r="L27" s="25"/>
      <c r="M27" s="25"/>
    </row>
    <row r="28" spans="1:13" x14ac:dyDescent="0.25">
      <c r="A28" s="4" t="s">
        <v>332</v>
      </c>
      <c r="B28" s="1" t="s">
        <v>377</v>
      </c>
      <c r="C28" s="1" t="s">
        <v>485</v>
      </c>
      <c r="D28" s="1"/>
      <c r="E28" s="1" t="s">
        <v>485</v>
      </c>
      <c r="F28" s="1" t="s">
        <v>379</v>
      </c>
      <c r="H28" s="25"/>
      <c r="I28" s="25"/>
      <c r="J28" s="25"/>
      <c r="K28" s="25"/>
      <c r="L28" s="25"/>
      <c r="M28" s="25"/>
    </row>
    <row r="29" spans="1:13" ht="15" x14ac:dyDescent="0.25">
      <c r="A29" s="4" t="s">
        <v>332</v>
      </c>
      <c r="B29" s="1" t="s">
        <v>380</v>
      </c>
      <c r="C29" s="1" t="s">
        <v>485</v>
      </c>
      <c r="D29" s="1"/>
      <c r="E29" s="1" t="s">
        <v>485</v>
      </c>
      <c r="F29" s="1" t="s">
        <v>382</v>
      </c>
    </row>
    <row r="30" spans="1:13" x14ac:dyDescent="0.25">
      <c r="A30" s="4" t="s">
        <v>332</v>
      </c>
      <c r="B30" s="1" t="s">
        <v>383</v>
      </c>
      <c r="C30" s="1" t="s">
        <v>485</v>
      </c>
      <c r="D30" s="1"/>
      <c r="E30" s="1" t="s">
        <v>485</v>
      </c>
      <c r="F30" s="1" t="s">
        <v>385</v>
      </c>
      <c r="H30" s="25" t="s">
        <v>386</v>
      </c>
      <c r="I30" s="25"/>
      <c r="J30" s="25"/>
      <c r="K30" s="25"/>
      <c r="L30" s="25"/>
      <c r="M30" s="25"/>
    </row>
    <row r="31" spans="1:13" x14ac:dyDescent="0.25">
      <c r="A31" s="4" t="s">
        <v>332</v>
      </c>
      <c r="B31" s="1" t="s">
        <v>387</v>
      </c>
      <c r="C31" s="1" t="s">
        <v>485</v>
      </c>
      <c r="D31" s="1"/>
      <c r="E31" s="1" t="s">
        <v>485</v>
      </c>
      <c r="F31" s="1" t="s">
        <v>389</v>
      </c>
      <c r="H31" s="25"/>
      <c r="I31" s="25"/>
      <c r="J31" s="25"/>
      <c r="K31" s="25"/>
      <c r="L31" s="25"/>
      <c r="M31" s="25"/>
    </row>
    <row r="32" spans="1:13" x14ac:dyDescent="0.25">
      <c r="A32" s="4" t="s">
        <v>332</v>
      </c>
      <c r="B32" s="1" t="s">
        <v>390</v>
      </c>
      <c r="C32" s="1" t="s">
        <v>485</v>
      </c>
      <c r="D32" s="1"/>
      <c r="E32" s="1" t="s">
        <v>485</v>
      </c>
      <c r="F32" s="1" t="s">
        <v>392</v>
      </c>
      <c r="H32" s="25"/>
      <c r="I32" s="25"/>
      <c r="J32" s="25"/>
      <c r="K32" s="25"/>
      <c r="L32" s="25"/>
      <c r="M32" s="25"/>
    </row>
    <row r="33" spans="1:13" x14ac:dyDescent="0.25">
      <c r="A33" s="4" t="s">
        <v>332</v>
      </c>
      <c r="B33" s="1" t="s">
        <v>393</v>
      </c>
      <c r="C33" s="1" t="s">
        <v>485</v>
      </c>
      <c r="D33" s="1"/>
      <c r="E33" s="1" t="s">
        <v>485</v>
      </c>
      <c r="F33" s="1" t="s">
        <v>392</v>
      </c>
      <c r="H33" s="25"/>
      <c r="I33" s="25"/>
      <c r="J33" s="25"/>
      <c r="K33" s="25"/>
      <c r="L33" s="25"/>
      <c r="M33" s="25"/>
    </row>
    <row r="34" spans="1:13" x14ac:dyDescent="0.25">
      <c r="A34" s="4" t="s">
        <v>332</v>
      </c>
      <c r="B34" s="1" t="s">
        <v>395</v>
      </c>
      <c r="C34" s="1" t="s">
        <v>485</v>
      </c>
      <c r="D34" s="1"/>
      <c r="E34" s="1" t="s">
        <v>485</v>
      </c>
      <c r="F34" s="1" t="s">
        <v>397</v>
      </c>
      <c r="H34" s="25"/>
      <c r="I34" s="25"/>
      <c r="J34" s="25"/>
      <c r="K34" s="25"/>
      <c r="L34" s="25"/>
      <c r="M34" s="25"/>
    </row>
    <row r="35" spans="1:13" x14ac:dyDescent="0.25">
      <c r="A35" s="4" t="s">
        <v>332</v>
      </c>
      <c r="B35" s="1" t="s">
        <v>398</v>
      </c>
      <c r="C35" s="1" t="s">
        <v>485</v>
      </c>
      <c r="D35" s="1"/>
      <c r="E35" s="1" t="s">
        <v>485</v>
      </c>
      <c r="F35" s="1" t="s">
        <v>400</v>
      </c>
      <c r="H35" s="25"/>
      <c r="I35" s="25"/>
      <c r="J35" s="25"/>
      <c r="K35" s="25"/>
      <c r="L35" s="25"/>
      <c r="M35" s="25"/>
    </row>
    <row r="36" spans="1:13" x14ac:dyDescent="0.25">
      <c r="A36" s="4" t="s">
        <v>332</v>
      </c>
      <c r="B36" s="1" t="s">
        <v>401</v>
      </c>
      <c r="C36" s="1" t="s">
        <v>485</v>
      </c>
      <c r="D36" s="1"/>
      <c r="E36" s="1" t="s">
        <v>485</v>
      </c>
      <c r="F36" s="1" t="s">
        <v>397</v>
      </c>
      <c r="H36" s="25"/>
      <c r="I36" s="25"/>
      <c r="J36" s="25"/>
      <c r="K36" s="25"/>
      <c r="L36" s="25"/>
      <c r="M36" s="25"/>
    </row>
    <row r="37" spans="1:13" x14ac:dyDescent="0.25">
      <c r="A37" s="4" t="s">
        <v>332</v>
      </c>
      <c r="B37" s="1" t="s">
        <v>403</v>
      </c>
      <c r="C37" s="1" t="s">
        <v>485</v>
      </c>
      <c r="D37" s="1"/>
      <c r="E37" s="1" t="s">
        <v>485</v>
      </c>
      <c r="F37" s="1" t="s">
        <v>405</v>
      </c>
      <c r="H37" s="25"/>
      <c r="I37" s="25"/>
      <c r="J37" s="25"/>
      <c r="K37" s="25"/>
      <c r="L37" s="25"/>
      <c r="M37" s="25"/>
    </row>
    <row r="38" spans="1:13" ht="15" x14ac:dyDescent="0.25">
      <c r="A38" s="4" t="s">
        <v>332</v>
      </c>
      <c r="B38" s="1" t="s">
        <v>406</v>
      </c>
      <c r="C38" s="1" t="s">
        <v>485</v>
      </c>
      <c r="D38" s="1"/>
      <c r="E38" s="1" t="s">
        <v>485</v>
      </c>
      <c r="F38" s="1" t="s">
        <v>408</v>
      </c>
    </row>
    <row r="39" spans="1:13" x14ac:dyDescent="0.25">
      <c r="A39" s="4" t="s">
        <v>332</v>
      </c>
      <c r="B39" s="1" t="s">
        <v>409</v>
      </c>
      <c r="C39" s="1" t="s">
        <v>485</v>
      </c>
      <c r="D39" s="1"/>
      <c r="E39" s="1" t="s">
        <v>485</v>
      </c>
      <c r="F39" s="1" t="s">
        <v>411</v>
      </c>
      <c r="H39" s="25" t="s">
        <v>486</v>
      </c>
      <c r="I39" s="25"/>
      <c r="J39" s="25"/>
      <c r="K39" s="25"/>
      <c r="L39" s="25"/>
      <c r="M39" s="25"/>
    </row>
    <row r="40" spans="1:13" x14ac:dyDescent="0.25">
      <c r="A40" s="4" t="s">
        <v>332</v>
      </c>
      <c r="B40" s="1" t="s">
        <v>413</v>
      </c>
      <c r="C40" s="1" t="s">
        <v>485</v>
      </c>
      <c r="D40" s="1"/>
      <c r="E40" s="1" t="s">
        <v>485</v>
      </c>
      <c r="F40" s="1" t="s">
        <v>415</v>
      </c>
      <c r="H40" s="25"/>
      <c r="I40" s="25"/>
      <c r="J40" s="25"/>
      <c r="K40" s="25"/>
      <c r="L40" s="25"/>
      <c r="M40" s="25"/>
    </row>
    <row r="41" spans="1:13" x14ac:dyDescent="0.25">
      <c r="A41" s="4" t="s">
        <v>332</v>
      </c>
      <c r="B41" s="1" t="s">
        <v>416</v>
      </c>
      <c r="C41" s="1" t="s">
        <v>485</v>
      </c>
      <c r="D41" s="1"/>
      <c r="E41" s="1" t="s">
        <v>485</v>
      </c>
      <c r="F41" s="1" t="s">
        <v>418</v>
      </c>
      <c r="H41" s="25"/>
      <c r="I41" s="25"/>
      <c r="J41" s="25"/>
      <c r="K41" s="25"/>
      <c r="L41" s="25"/>
      <c r="M41" s="25"/>
    </row>
    <row r="42" spans="1:13" x14ac:dyDescent="0.25">
      <c r="A42" s="4" t="s">
        <v>332</v>
      </c>
      <c r="B42" s="1" t="s">
        <v>419</v>
      </c>
      <c r="C42" s="1" t="s">
        <v>485</v>
      </c>
      <c r="D42" s="1"/>
      <c r="E42" s="1" t="s">
        <v>485</v>
      </c>
      <c r="F42" s="1" t="s">
        <v>421</v>
      </c>
      <c r="H42" s="25"/>
      <c r="I42" s="25"/>
      <c r="J42" s="25"/>
      <c r="K42" s="25"/>
      <c r="L42" s="25"/>
      <c r="M42" s="25"/>
    </row>
    <row r="43" spans="1:13" x14ac:dyDescent="0.25">
      <c r="A43" s="4" t="s">
        <v>332</v>
      </c>
      <c r="B43" s="1" t="s">
        <v>317</v>
      </c>
      <c r="C43" s="1" t="s">
        <v>485</v>
      </c>
      <c r="D43" s="1"/>
      <c r="E43" s="1" t="s">
        <v>485</v>
      </c>
      <c r="F43" s="1" t="s">
        <v>423</v>
      </c>
      <c r="H43" s="25"/>
      <c r="I43" s="25"/>
      <c r="J43" s="25"/>
      <c r="K43" s="25"/>
      <c r="L43" s="25"/>
      <c r="M43" s="25"/>
    </row>
    <row r="44" spans="1:13" x14ac:dyDescent="0.25">
      <c r="A44" s="4" t="s">
        <v>332</v>
      </c>
      <c r="B44" s="1" t="s">
        <v>424</v>
      </c>
      <c r="C44" s="1" t="s">
        <v>485</v>
      </c>
      <c r="D44" s="1"/>
      <c r="E44" s="1" t="s">
        <v>485</v>
      </c>
      <c r="F44" s="1" t="s">
        <v>426</v>
      </c>
      <c r="H44" s="25"/>
      <c r="I44" s="25"/>
      <c r="J44" s="25"/>
      <c r="K44" s="25"/>
      <c r="L44" s="25"/>
      <c r="M44" s="25"/>
    </row>
    <row r="45" spans="1:13" x14ac:dyDescent="0.25">
      <c r="A45" s="4" t="s">
        <v>332</v>
      </c>
      <c r="B45" s="1" t="s">
        <v>427</v>
      </c>
      <c r="C45" s="1" t="s">
        <v>485</v>
      </c>
      <c r="D45" s="1"/>
      <c r="E45" s="1" t="s">
        <v>485</v>
      </c>
      <c r="F45" s="1" t="s">
        <v>429</v>
      </c>
      <c r="H45" s="25"/>
      <c r="I45" s="25"/>
      <c r="J45" s="25"/>
      <c r="K45" s="25"/>
      <c r="L45" s="25"/>
      <c r="M45" s="25"/>
    </row>
    <row r="46" spans="1:13" x14ac:dyDescent="0.25">
      <c r="A46" s="4" t="s">
        <v>332</v>
      </c>
      <c r="B46" s="1" t="s">
        <v>430</v>
      </c>
      <c r="C46" s="1" t="s">
        <v>485</v>
      </c>
      <c r="D46" s="1"/>
      <c r="E46" s="1" t="s">
        <v>485</v>
      </c>
      <c r="F46" s="1" t="s">
        <v>432</v>
      </c>
      <c r="H46" s="25"/>
      <c r="I46" s="25"/>
      <c r="J46" s="25"/>
      <c r="K46" s="25"/>
      <c r="L46" s="25"/>
      <c r="M46" s="25"/>
    </row>
    <row r="47" spans="1:13" ht="15" x14ac:dyDescent="0.25">
      <c r="A47" s="4" t="s">
        <v>332</v>
      </c>
      <c r="B47" s="1" t="s">
        <v>433</v>
      </c>
      <c r="C47" s="1" t="s">
        <v>485</v>
      </c>
      <c r="D47" s="1"/>
      <c r="E47" s="1" t="s">
        <v>485</v>
      </c>
      <c r="F47" s="1" t="s">
        <v>435</v>
      </c>
    </row>
    <row r="48" spans="1:13" ht="15" x14ac:dyDescent="0.25">
      <c r="A48" s="4" t="s">
        <v>332</v>
      </c>
      <c r="B48" s="1" t="s">
        <v>436</v>
      </c>
      <c r="C48" s="1" t="s">
        <v>485</v>
      </c>
      <c r="D48" s="1"/>
      <c r="E48" s="1" t="s">
        <v>485</v>
      </c>
      <c r="F48" s="1" t="s">
        <v>438</v>
      </c>
    </row>
    <row r="49" spans="1:13" customFormat="1" ht="15" customHeight="1" x14ac:dyDescent="0.25">
      <c r="A49" s="4" t="s">
        <v>332</v>
      </c>
      <c r="B49" s="1" t="s">
        <v>439</v>
      </c>
      <c r="C49" s="1" t="s">
        <v>485</v>
      </c>
      <c r="D49" s="1"/>
      <c r="E49" s="1" t="s">
        <v>485</v>
      </c>
      <c r="F49" s="1" t="s">
        <v>441</v>
      </c>
    </row>
    <row r="50" spans="1:13" ht="15" x14ac:dyDescent="0.25">
      <c r="A50" s="4" t="s">
        <v>332</v>
      </c>
      <c r="B50" s="1" t="s">
        <v>442</v>
      </c>
      <c r="C50" s="1" t="s">
        <v>485</v>
      </c>
      <c r="D50" s="1"/>
      <c r="E50" s="1" t="s">
        <v>485</v>
      </c>
      <c r="F50" s="1" t="s">
        <v>444</v>
      </c>
    </row>
    <row r="51" spans="1:13" ht="15" x14ac:dyDescent="0.25">
      <c r="A51" s="4" t="s">
        <v>332</v>
      </c>
      <c r="B51" s="1" t="s">
        <v>445</v>
      </c>
      <c r="C51" s="1" t="s">
        <v>485</v>
      </c>
      <c r="D51" s="1"/>
      <c r="E51" s="1" t="s">
        <v>485</v>
      </c>
      <c r="F51" s="1" t="s">
        <v>447</v>
      </c>
    </row>
    <row r="52" spans="1:13" ht="15" x14ac:dyDescent="0.25">
      <c r="A52" s="4" t="s">
        <v>332</v>
      </c>
      <c r="B52" s="1" t="s">
        <v>448</v>
      </c>
      <c r="C52" s="1" t="s">
        <v>485</v>
      </c>
      <c r="D52" s="1"/>
      <c r="E52" s="1" t="s">
        <v>485</v>
      </c>
      <c r="F52" s="1" t="s">
        <v>450</v>
      </c>
    </row>
    <row r="53" spans="1:13" x14ac:dyDescent="0.25">
      <c r="A53" s="4" t="s">
        <v>332</v>
      </c>
      <c r="B53" s="2" t="s">
        <v>451</v>
      </c>
      <c r="C53" s="1" t="s">
        <v>485</v>
      </c>
      <c r="D53" s="15"/>
      <c r="E53" s="1" t="s">
        <v>485</v>
      </c>
      <c r="F53" s="16" t="s">
        <v>453</v>
      </c>
    </row>
    <row r="54" spans="1:13" x14ac:dyDescent="0.25">
      <c r="A54" s="4" t="s">
        <v>332</v>
      </c>
      <c r="B54" s="2" t="s">
        <v>319</v>
      </c>
      <c r="C54" s="1" t="s">
        <v>485</v>
      </c>
      <c r="D54" s="15"/>
      <c r="E54" s="1" t="s">
        <v>485</v>
      </c>
      <c r="F54" s="16" t="s">
        <v>453</v>
      </c>
    </row>
    <row r="55" spans="1:13" x14ac:dyDescent="0.25">
      <c r="A55" s="4" t="s">
        <v>332</v>
      </c>
      <c r="B55" s="2" t="s">
        <v>455</v>
      </c>
      <c r="C55" s="1" t="s">
        <v>485</v>
      </c>
      <c r="D55" s="15"/>
      <c r="E55" s="1" t="s">
        <v>485</v>
      </c>
      <c r="F55" s="16" t="s">
        <v>453</v>
      </c>
    </row>
    <row r="56" spans="1:13" x14ac:dyDescent="0.25">
      <c r="B56" s="29" t="s">
        <v>457</v>
      </c>
      <c r="C56" s="30"/>
      <c r="D56" s="30"/>
      <c r="E56" s="30"/>
      <c r="F56" s="31"/>
    </row>
    <row r="57" spans="1:13" x14ac:dyDescent="0.25">
      <c r="A57" s="4" t="s">
        <v>332</v>
      </c>
      <c r="B57" s="1" t="s">
        <v>327</v>
      </c>
      <c r="C57" s="1" t="s">
        <v>334</v>
      </c>
      <c r="D57" s="1"/>
      <c r="E57" s="1"/>
      <c r="F57" s="1"/>
    </row>
    <row r="58" spans="1:13" x14ac:dyDescent="0.25">
      <c r="A58" s="4" t="s">
        <v>332</v>
      </c>
      <c r="B58" s="1" t="s">
        <v>459</v>
      </c>
      <c r="C58" s="1" t="s">
        <v>334</v>
      </c>
      <c r="D58" s="1"/>
      <c r="E58" s="1" t="s">
        <v>487</v>
      </c>
      <c r="F58" s="18" t="s">
        <v>488</v>
      </c>
      <c r="H58" s="25" t="s">
        <v>489</v>
      </c>
      <c r="I58" s="25"/>
      <c r="J58" s="25"/>
      <c r="K58" s="25"/>
      <c r="L58" s="25"/>
      <c r="M58" s="25"/>
    </row>
    <row r="59" spans="1:13" x14ac:dyDescent="0.25">
      <c r="A59" s="4" t="s">
        <v>332</v>
      </c>
      <c r="B59" s="1" t="s">
        <v>464</v>
      </c>
      <c r="C59" s="1" t="s">
        <v>465</v>
      </c>
      <c r="D59" s="1"/>
      <c r="E59" s="10">
        <v>27059</v>
      </c>
      <c r="F59" s="1"/>
      <c r="H59" s="25"/>
      <c r="I59" s="25"/>
      <c r="J59" s="25"/>
      <c r="K59" s="25"/>
      <c r="L59" s="25"/>
      <c r="M59" s="25"/>
    </row>
    <row r="60" spans="1:13" x14ac:dyDescent="0.25">
      <c r="A60" s="4" t="s">
        <v>332</v>
      </c>
      <c r="B60" s="1" t="s">
        <v>466</v>
      </c>
      <c r="C60" s="1" t="s">
        <v>458</v>
      </c>
      <c r="D60" s="1" t="s">
        <v>467</v>
      </c>
      <c r="E60" s="1" t="s">
        <v>468</v>
      </c>
      <c r="F60" s="1"/>
      <c r="H60" s="25"/>
      <c r="I60" s="25"/>
      <c r="J60" s="25"/>
      <c r="K60" s="25"/>
      <c r="L60" s="25"/>
      <c r="M60" s="25"/>
    </row>
    <row r="61" spans="1:13" x14ac:dyDescent="0.25">
      <c r="A61" s="4" t="s">
        <v>332</v>
      </c>
      <c r="B61" s="1" t="s">
        <v>469</v>
      </c>
      <c r="C61" s="1" t="s">
        <v>334</v>
      </c>
      <c r="D61" s="1"/>
      <c r="E61" s="1" t="s">
        <v>470</v>
      </c>
      <c r="F61" s="1"/>
      <c r="H61" s="25"/>
      <c r="I61" s="25"/>
      <c r="J61" s="25"/>
      <c r="K61" s="25"/>
      <c r="L61" s="25"/>
      <c r="M61" s="25"/>
    </row>
    <row r="62" spans="1:13" x14ac:dyDescent="0.25">
      <c r="A62" s="4" t="s">
        <v>332</v>
      </c>
      <c r="B62" s="1" t="s">
        <v>471</v>
      </c>
      <c r="C62" s="1" t="s">
        <v>334</v>
      </c>
      <c r="D62" s="1"/>
      <c r="E62" s="1" t="s">
        <v>472</v>
      </c>
      <c r="F62" s="1"/>
      <c r="H62" s="25"/>
      <c r="I62" s="25"/>
      <c r="J62" s="25"/>
      <c r="K62" s="25"/>
      <c r="L62" s="25"/>
      <c r="M62" s="25"/>
    </row>
    <row r="63" spans="1:13" x14ac:dyDescent="0.25">
      <c r="A63" s="4" t="s">
        <v>332</v>
      </c>
      <c r="B63" s="1" t="s">
        <v>473</v>
      </c>
      <c r="C63" s="1" t="s">
        <v>334</v>
      </c>
      <c r="D63" s="1"/>
      <c r="E63" s="1" t="s">
        <v>474</v>
      </c>
      <c r="F63" s="1"/>
      <c r="H63" s="25"/>
      <c r="I63" s="25"/>
      <c r="J63" s="25"/>
      <c r="K63" s="25"/>
      <c r="L63" s="25"/>
      <c r="M63" s="25"/>
    </row>
    <row r="64" spans="1:13" x14ac:dyDescent="0.25">
      <c r="A64" s="4" t="s">
        <v>332</v>
      </c>
      <c r="B64" s="1" t="s">
        <v>475</v>
      </c>
      <c r="C64" s="1" t="s">
        <v>458</v>
      </c>
      <c r="D64" s="1" t="s">
        <v>476</v>
      </c>
      <c r="E64" s="1" t="b">
        <v>1</v>
      </c>
      <c r="F64" s="1"/>
      <c r="H64" s="25"/>
      <c r="I64" s="25"/>
      <c r="J64" s="25"/>
      <c r="K64" s="25"/>
      <c r="L64" s="25"/>
      <c r="M64" s="25"/>
    </row>
    <row r="65" spans="1:13" x14ac:dyDescent="0.25">
      <c r="A65" s="4" t="s">
        <v>332</v>
      </c>
      <c r="B65" s="1" t="s">
        <v>477</v>
      </c>
      <c r="C65" s="1" t="s">
        <v>458</v>
      </c>
      <c r="D65" s="1" t="s">
        <v>478</v>
      </c>
      <c r="E65" s="1" t="s">
        <v>479</v>
      </c>
      <c r="F65" s="1"/>
      <c r="H65" s="25"/>
      <c r="I65" s="25"/>
      <c r="J65" s="25"/>
      <c r="K65" s="25"/>
      <c r="L65" s="25"/>
      <c r="M65" s="25"/>
    </row>
    <row r="66" spans="1:13" x14ac:dyDescent="0.25">
      <c r="A66" s="4" t="s">
        <v>332</v>
      </c>
      <c r="B66" s="1" t="s">
        <v>480</v>
      </c>
      <c r="C66" s="1" t="s">
        <v>458</v>
      </c>
      <c r="D66" s="1" t="s">
        <v>481</v>
      </c>
      <c r="E66" s="1">
        <v>25</v>
      </c>
      <c r="F66" s="1"/>
    </row>
    <row r="67" spans="1:13" customFormat="1" ht="15" customHeight="1" x14ac:dyDescent="0.25">
      <c r="A67" s="4" t="s">
        <v>332</v>
      </c>
      <c r="B67" s="1" t="s">
        <v>482</v>
      </c>
      <c r="C67" s="1" t="s">
        <v>334</v>
      </c>
      <c r="D67" s="1"/>
      <c r="E67" s="1"/>
      <c r="F67" s="1"/>
      <c r="H67" s="32" t="s">
        <v>490</v>
      </c>
      <c r="I67" s="32"/>
      <c r="J67" s="32"/>
      <c r="K67" s="32"/>
      <c r="L67" s="32"/>
      <c r="M67" s="32"/>
    </row>
    <row r="68" spans="1:13" x14ac:dyDescent="0.25">
      <c r="A68" s="4" t="s">
        <v>332</v>
      </c>
      <c r="B68" s="1" t="s">
        <v>491</v>
      </c>
      <c r="C68" s="1" t="s">
        <v>344</v>
      </c>
      <c r="D68" s="1"/>
      <c r="E68" s="1" t="s">
        <v>492</v>
      </c>
      <c r="F68" s="18" t="s">
        <v>493</v>
      </c>
      <c r="H68" s="32"/>
      <c r="I68" s="32"/>
      <c r="J68" s="32"/>
      <c r="K68" s="32"/>
      <c r="L68" s="32"/>
      <c r="M68" s="32"/>
    </row>
    <row r="69" spans="1:13" x14ac:dyDescent="0.25">
      <c r="A69" s="4" t="s">
        <v>332</v>
      </c>
      <c r="B69" s="1" t="s">
        <v>494</v>
      </c>
      <c r="C69" s="1" t="s">
        <v>344</v>
      </c>
      <c r="D69" s="1"/>
      <c r="E69" s="1" t="s">
        <v>495</v>
      </c>
      <c r="F69" s="18" t="s">
        <v>496</v>
      </c>
      <c r="H69" s="32"/>
      <c r="I69" s="32"/>
      <c r="J69" s="32"/>
      <c r="K69" s="32"/>
      <c r="L69" s="32"/>
      <c r="M69" s="32"/>
    </row>
    <row r="70" spans="1:13" x14ac:dyDescent="0.25">
      <c r="A70" s="4" t="s">
        <v>332</v>
      </c>
      <c r="B70" s="1" t="s">
        <v>483</v>
      </c>
      <c r="C70" s="1" t="s">
        <v>465</v>
      </c>
      <c r="D70" s="1"/>
      <c r="E70" s="10">
        <v>23011</v>
      </c>
      <c r="F70" s="1"/>
      <c r="H70" s="32"/>
      <c r="I70" s="32"/>
      <c r="J70" s="32"/>
      <c r="K70" s="32"/>
      <c r="L70" s="32"/>
      <c r="M70" s="32"/>
    </row>
    <row r="71" spans="1:13" x14ac:dyDescent="0.25">
      <c r="B71" s="3" t="s">
        <v>484</v>
      </c>
      <c r="H71" s="19"/>
      <c r="I71" s="19"/>
      <c r="J71" s="19"/>
      <c r="K71" s="19"/>
      <c r="L71" s="19"/>
      <c r="M71" s="19"/>
    </row>
    <row r="72" spans="1:13" x14ac:dyDescent="0.25">
      <c r="H72" s="32" t="s">
        <v>497</v>
      </c>
      <c r="I72" s="32"/>
      <c r="J72" s="32"/>
      <c r="K72" s="32"/>
      <c r="L72" s="32"/>
      <c r="M72" s="32"/>
    </row>
    <row r="73" spans="1:13" x14ac:dyDescent="0.25">
      <c r="H73" s="32"/>
      <c r="I73" s="32"/>
      <c r="J73" s="32"/>
      <c r="K73" s="32"/>
      <c r="L73" s="32"/>
      <c r="M73" s="32"/>
    </row>
    <row r="74" spans="1:13" x14ac:dyDescent="0.25">
      <c r="H74" s="32"/>
      <c r="I74" s="32"/>
      <c r="J74" s="32"/>
      <c r="K74" s="32"/>
      <c r="L74" s="32"/>
      <c r="M74" s="32"/>
    </row>
    <row r="75" spans="1:13" x14ac:dyDescent="0.25">
      <c r="H75" s="32"/>
      <c r="I75" s="32"/>
      <c r="J75" s="32"/>
      <c r="K75" s="32"/>
      <c r="L75" s="32"/>
      <c r="M75" s="32"/>
    </row>
    <row r="76" spans="1:13" x14ac:dyDescent="0.25">
      <c r="H76" s="32"/>
      <c r="I76" s="32"/>
      <c r="J76" s="32"/>
      <c r="K76" s="32"/>
      <c r="L76" s="32"/>
      <c r="M76" s="32"/>
    </row>
    <row r="77" spans="1:13" x14ac:dyDescent="0.25">
      <c r="H77" s="32"/>
      <c r="I77" s="32"/>
      <c r="J77" s="32"/>
      <c r="K77" s="32"/>
      <c r="L77" s="32"/>
      <c r="M77" s="32"/>
    </row>
    <row r="78" spans="1:13" x14ac:dyDescent="0.25">
      <c r="H78" s="32"/>
      <c r="I78" s="32"/>
      <c r="J78" s="32"/>
      <c r="K78" s="32"/>
      <c r="L78" s="32"/>
      <c r="M78" s="32"/>
    </row>
  </sheetData>
  <mergeCells count="9">
    <mergeCell ref="H67:M70"/>
    <mergeCell ref="H72:M78"/>
    <mergeCell ref="H58:M65"/>
    <mergeCell ref="B1:F1"/>
    <mergeCell ref="B14:F14"/>
    <mergeCell ref="H21:M28"/>
    <mergeCell ref="H30:M37"/>
    <mergeCell ref="B56:F56"/>
    <mergeCell ref="H39:M46"/>
  </mergeCells>
  <dataValidations count="2">
    <dataValidation type="list" allowBlank="1" showInputMessage="1" showErrorMessage="1" sqref="E15:E55" xr:uid="{00000000-0002-0000-0700-000000000000}">
      <formula1>PhysicalProperties</formula1>
    </dataValidation>
    <dataValidation type="list" allowBlank="1" showInputMessage="1" showErrorMessage="1" sqref="C15:C55 C57:C70" xr:uid="{00000000-0002-0000-0700-000001000000}">
      <formula1>PropertyDataType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5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</sheetData>
  <mergeCells count="23">
    <mergeCell ref="E9:I9"/>
    <mergeCell ref="E10:I10"/>
    <mergeCell ref="E3:I3"/>
    <mergeCell ref="E4:I4"/>
    <mergeCell ref="E5:I5"/>
    <mergeCell ref="E6:I6"/>
    <mergeCell ref="E7:I7"/>
    <mergeCell ref="E2:I2"/>
    <mergeCell ref="B14:I14"/>
    <mergeCell ref="B15:I15"/>
    <mergeCell ref="B12:I12"/>
    <mergeCell ref="B1:I1"/>
    <mergeCell ref="B11:I11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E8:I8"/>
  </mergeCells>
  <conditionalFormatting sqref="F16:F32768">
    <cfRule type="expression" dxfId="97" priority="1">
      <formula>AND(OR(NOT(ISBLANK(D16)),NOT(ISBLANK(E16))),ISBLANK(F16),ISBLANK(G16))</formula>
    </cfRule>
  </conditionalFormatting>
  <conditionalFormatting sqref="G16:G32768">
    <cfRule type="expression" dxfId="96" priority="2">
      <formula>AND(OR(NOT(ISBLANK(D16)),NOT(ISBLANK(E16))),ISBLANK(F16),ISBLANK(G16))</formula>
    </cfRule>
  </conditionalFormatting>
  <conditionalFormatting sqref="E16:E32768">
    <cfRule type="expression" dxfId="95" priority="3">
      <formula>NOT(AND(ISBLANK(F16),ISBLANK(G16)))</formula>
    </cfRule>
  </conditionalFormatting>
  <conditionalFormatting sqref="D16:D32768">
    <cfRule type="expression" dxfId="94" priority="4">
      <formula>NOT(AND(ISBLANK(F16),ISBLANK(G16)))</formula>
    </cfRule>
  </conditionalFormatting>
  <conditionalFormatting sqref="H16:H32768">
    <cfRule type="cellIs" dxfId="93" priority="5" operator="equal">
      <formula>OR($C16="Number", $C16="Point")</formula>
    </cfRule>
  </conditionalFormatting>
  <dataValidations count="7">
    <dataValidation type="list" allowBlank="1" showInputMessage="1" showErrorMessage="1" sqref="D16:D28" xr:uid="{00000000-0002-0000-0800-000000000000}">
      <formula1>PickLists</formula1>
    </dataValidation>
    <dataValidation type="list" allowBlank="1" showInputMessage="1" showErrorMessage="1" sqref="C14 C16:C1048576" xr:uid="{00000000-0002-0000-0800-000001000000}">
      <formula1>PropertyDataType</formula1>
    </dataValidation>
    <dataValidation type="list" allowBlank="1" showInputMessage="1" showErrorMessage="1" sqref="H14 H16:H1048576" xr:uid="{00000000-0002-0000-0800-000003000000}">
      <formula1>ECUnits</formula1>
    </dataValidation>
    <dataValidation type="list" allowBlank="1" showInputMessage="1" showErrorMessage="1" sqref="A2:A10 A16:A1048576" xr:uid="{00000000-0002-0000-0800-000005000000}">
      <formula1>RowHeader</formula1>
    </dataValidation>
    <dataValidation type="list" allowBlank="1" showInputMessage="1" showErrorMessage="1" sqref="E1 E14:E15 E32769:E1048576 E11:E12" xr:uid="{00000000-0002-0000-0800-000007000000}">
      <formula1>SpecialValues</formula1>
    </dataValidation>
    <dataValidation allowBlank="1" showInputMessage="1" showErrorMessage="1" sqref="E13" xr:uid="{00000000-0002-0000-0800-00000A000000}"/>
    <dataValidation type="list" allowBlank="1" showInputMessage="1" sqref="E16:E32768" xr:uid="{00000000-0002-0000-0800-00000B000000}">
      <formula1>SpecialValues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6D969-A05B-4EDF-A37D-06003F1C2863}">
  <sheetPr codeName="Sheet12"/>
  <dimension ref="A1:I18"/>
  <sheetViews>
    <sheetView workbookViewId="0">
      <pane ySplit="13" topLeftCell="A14" activePane="bottomLeft" state="frozenSplit"/>
      <selection activeCell="E16" sqref="E16 E16"/>
      <selection pane="bottomLeft" activeCell="D19" sqref="D19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543</v>
      </c>
      <c r="C16" s="1" t="s">
        <v>33</v>
      </c>
      <c r="D16" s="1" t="s">
        <v>519</v>
      </c>
    </row>
    <row r="17" spans="1:4" x14ac:dyDescent="0.25">
      <c r="A17" s="4" t="s">
        <v>26</v>
      </c>
      <c r="B17" s="1" t="s">
        <v>544</v>
      </c>
      <c r="C17" s="1" t="s">
        <v>33</v>
      </c>
      <c r="D17" s="1" t="s">
        <v>518</v>
      </c>
    </row>
    <row r="18" spans="1:4" x14ac:dyDescent="0.25">
      <c r="A18" s="4" t="s">
        <v>26</v>
      </c>
      <c r="B18" s="1" t="s">
        <v>33</v>
      </c>
      <c r="C18" s="1" t="s">
        <v>33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6:F32768">
    <cfRule type="expression" dxfId="92" priority="1">
      <formula>AND(OR(NOT(ISBLANK(D16)),NOT(ISBLANK(E16))),ISBLANK(F16),ISBLANK(G16))</formula>
    </cfRule>
  </conditionalFormatting>
  <conditionalFormatting sqref="G16:G32768">
    <cfRule type="expression" dxfId="91" priority="2">
      <formula>AND(OR(NOT(ISBLANK(D16)),NOT(ISBLANK(E16))),ISBLANK(F16),ISBLANK(G16))</formula>
    </cfRule>
  </conditionalFormatting>
  <conditionalFormatting sqref="E16:E32768">
    <cfRule type="expression" dxfId="90" priority="3">
      <formula>NOT(AND(ISBLANK(F16),ISBLANK(G16)))</formula>
    </cfRule>
  </conditionalFormatting>
  <conditionalFormatting sqref="D16:D32768">
    <cfRule type="expression" dxfId="89" priority="4">
      <formula>NOT(AND(ISBLANK(F16),ISBLANK(G16)))</formula>
    </cfRule>
  </conditionalFormatting>
  <conditionalFormatting sqref="H16:H32768">
    <cfRule type="cellIs" dxfId="88" priority="5" operator="equal">
      <formula>OR($C16="Number", $C16="Point")</formula>
    </cfRule>
  </conditionalFormatting>
  <dataValidations count="7">
    <dataValidation type="list" allowBlank="1" showInputMessage="1" sqref="E16:E32768" xr:uid="{0BD3E75C-2DC7-4DE0-A60E-21DB3A4F0A29}">
      <formula1>SpecialValues</formula1>
    </dataValidation>
    <dataValidation allowBlank="1" showInputMessage="1" showErrorMessage="1" sqref="E13" xr:uid="{27DAADFB-2DEB-41A6-BB80-BB86253B9896}"/>
    <dataValidation type="list" allowBlank="1" showInputMessage="1" showErrorMessage="1" sqref="E1 E14:E15 E32769:E1048576 E11:E12" xr:uid="{9B79F0A0-DB7E-4E6E-8A08-EABA60FD8D40}">
      <formula1>SpecialValues</formula1>
    </dataValidation>
    <dataValidation type="list" allowBlank="1" showInputMessage="1" showErrorMessage="1" sqref="A2:A10 A16:A1048576" xr:uid="{628BD7FD-240C-4890-B7E1-FFF263E1B42C}">
      <formula1>RowHeader</formula1>
    </dataValidation>
    <dataValidation type="list" allowBlank="1" showInputMessage="1" showErrorMessage="1" sqref="H14 H16:H1048576" xr:uid="{97A1B368-CCFA-46D9-B5A6-A51813A7A8C0}">
      <formula1>ECUnits</formula1>
    </dataValidation>
    <dataValidation type="list" allowBlank="1" showInputMessage="1" showErrorMessage="1" sqref="C14 C16:C1048576" xr:uid="{E4FA5559-3705-4C5A-9065-AD23880BA789}">
      <formula1>PropertyDataType</formula1>
    </dataValidation>
    <dataValidation type="list" allowBlank="1" showInputMessage="1" showErrorMessage="1" sqref="D16:D28" xr:uid="{EBA1D3A9-4164-4E53-AF12-D9D12E47677D}">
      <formula1>PickLists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C18E-8E8B-4110-BF52-09141F8CB9AA}">
  <sheetPr codeName="Sheet17"/>
  <dimension ref="A1:I28"/>
  <sheetViews>
    <sheetView workbookViewId="0">
      <pane ySplit="13" topLeftCell="A17" activePane="bottomLeft" state="frozenSplit"/>
      <selection activeCell="E16" sqref="E16 E16"/>
      <selection pane="bottomLeft" activeCell="F25" sqref="F25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543</v>
      </c>
      <c r="C16" s="1" t="s">
        <v>33</v>
      </c>
      <c r="D16" s="1" t="s">
        <v>519</v>
      </c>
      <c r="E16" s="1" t="s">
        <v>521</v>
      </c>
    </row>
    <row r="17" spans="1:8" x14ac:dyDescent="0.25">
      <c r="A17" s="4" t="s">
        <v>26</v>
      </c>
      <c r="B17" s="1" t="s">
        <v>544</v>
      </c>
      <c r="C17" s="1" t="s">
        <v>33</v>
      </c>
      <c r="D17" s="1" t="s">
        <v>518</v>
      </c>
      <c r="E17" s="1" t="s">
        <v>559</v>
      </c>
    </row>
    <row r="18" spans="1:8" x14ac:dyDescent="0.25">
      <c r="A18" s="4" t="s">
        <v>26</v>
      </c>
      <c r="B18" s="1" t="s">
        <v>33</v>
      </c>
      <c r="C18" s="1" t="s">
        <v>33</v>
      </c>
      <c r="E18" s="1" t="s">
        <v>563</v>
      </c>
    </row>
    <row r="19" spans="1:8" x14ac:dyDescent="0.25">
      <c r="A19" s="4" t="s">
        <v>26</v>
      </c>
      <c r="B19" s="1" t="s">
        <v>545</v>
      </c>
      <c r="C19" s="1" t="s">
        <v>33</v>
      </c>
      <c r="E19" s="1" t="s">
        <v>525</v>
      </c>
    </row>
    <row r="20" spans="1:8" x14ac:dyDescent="0.25">
      <c r="A20" s="4" t="s">
        <v>26</v>
      </c>
      <c r="B20" s="1" t="s">
        <v>546</v>
      </c>
      <c r="C20" s="1" t="s">
        <v>33</v>
      </c>
      <c r="E20" s="1" t="s">
        <v>551</v>
      </c>
    </row>
    <row r="21" spans="1:8" x14ac:dyDescent="0.25">
      <c r="A21" s="4" t="s">
        <v>26</v>
      </c>
      <c r="B21" s="1" t="s">
        <v>547</v>
      </c>
      <c r="C21" s="1" t="s">
        <v>33</v>
      </c>
      <c r="E21" s="1" t="s">
        <v>526</v>
      </c>
    </row>
    <row r="22" spans="1:8" x14ac:dyDescent="0.25">
      <c r="A22" s="4" t="s">
        <v>26</v>
      </c>
      <c r="B22" s="1" t="s">
        <v>523</v>
      </c>
      <c r="C22" s="1" t="s">
        <v>29</v>
      </c>
      <c r="E22" s="1">
        <v>36</v>
      </c>
      <c r="H22" s="1" t="s">
        <v>143</v>
      </c>
    </row>
    <row r="23" spans="1:8" s="1" customFormat="1" x14ac:dyDescent="0.25">
      <c r="A23" s="4" t="s">
        <v>26</v>
      </c>
      <c r="B23" s="1" t="s">
        <v>524</v>
      </c>
      <c r="C23" s="1" t="s">
        <v>29</v>
      </c>
      <c r="E23" s="1">
        <v>36</v>
      </c>
      <c r="H23" s="1" t="s">
        <v>143</v>
      </c>
    </row>
    <row r="24" spans="1:8" x14ac:dyDescent="0.25">
      <c r="A24" s="4" t="s">
        <v>26</v>
      </c>
      <c r="B24" s="1" t="s">
        <v>564</v>
      </c>
      <c r="C24" s="1" t="s">
        <v>33</v>
      </c>
      <c r="D24" s="1" t="s">
        <v>565</v>
      </c>
      <c r="E24" s="1" t="s">
        <v>568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591</v>
      </c>
      <c r="H25" s="1" t="s">
        <v>109</v>
      </c>
    </row>
    <row r="26" spans="1:8" s="1" customFormat="1" x14ac:dyDescent="0.25">
      <c r="A26" s="4" t="s">
        <v>26</v>
      </c>
      <c r="B26" s="1" t="s">
        <v>548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571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549</v>
      </c>
      <c r="C28" s="1" t="s">
        <v>29</v>
      </c>
      <c r="F28" s="23" t="s">
        <v>572</v>
      </c>
      <c r="H28" s="1" t="s">
        <v>51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16:F23 F26:F32770">
    <cfRule type="expression" dxfId="87" priority="13">
      <formula>AND(OR(NOT(ISBLANK(D16)),NOT(ISBLANK(E16))),ISBLANK(F16),ISBLANK(G16))</formula>
    </cfRule>
  </conditionalFormatting>
  <conditionalFormatting sqref="G16:G23 G26:G32770">
    <cfRule type="expression" dxfId="86" priority="14">
      <formula>AND(OR(NOT(ISBLANK(D16)),NOT(ISBLANK(E16))),ISBLANK(F16),ISBLANK(G16))</formula>
    </cfRule>
  </conditionalFormatting>
  <conditionalFormatting sqref="E26:E32770">
    <cfRule type="expression" dxfId="85" priority="15">
      <formula>NOT(AND(ISBLANK(F26),ISBLANK(G26)))</formula>
    </cfRule>
  </conditionalFormatting>
  <conditionalFormatting sqref="D16:D23 D26:D32770">
    <cfRule type="expression" dxfId="84" priority="16">
      <formula>NOT(AND(ISBLANK(F16),ISBLANK(G16)))</formula>
    </cfRule>
  </conditionalFormatting>
  <conditionalFormatting sqref="H16:H23 H26:H32770">
    <cfRule type="cellIs" dxfId="83" priority="17" operator="equal">
      <formula>OR($C16="Number", $C16="Point")</formula>
    </cfRule>
  </conditionalFormatting>
  <conditionalFormatting sqref="F25">
    <cfRule type="expression" dxfId="82" priority="2">
      <formula>AND(OR(NOT(ISBLANK(D25)),NOT(ISBLANK(E25))),ISBLANK(F25),ISBLANK(G25))</formula>
    </cfRule>
  </conditionalFormatting>
  <conditionalFormatting sqref="G25">
    <cfRule type="expression" dxfId="81" priority="3">
      <formula>AND(OR(NOT(ISBLANK(D25)),NOT(ISBLANK(E25))),ISBLANK(F25),ISBLANK(G25))</formula>
    </cfRule>
  </conditionalFormatting>
  <conditionalFormatting sqref="E25">
    <cfRule type="expression" dxfId="80" priority="4">
      <formula>NOT(AND(ISBLANK(F25),ISBLANK(G25)))</formula>
    </cfRule>
  </conditionalFormatting>
  <conditionalFormatting sqref="D25">
    <cfRule type="expression" dxfId="79" priority="5">
      <formula>NOT(AND(ISBLANK(F25),ISBLANK(G25)))</formula>
    </cfRule>
  </conditionalFormatting>
  <conditionalFormatting sqref="H25">
    <cfRule type="cellIs" dxfId="78" priority="6" operator="equal">
      <formula>OR($C25="Number", $C25="Point")</formula>
    </cfRule>
  </conditionalFormatting>
  <conditionalFormatting sqref="E16:E24">
    <cfRule type="expression" dxfId="77" priority="1">
      <formula>NOT(AND(ISBLANK(F16),ISBLANK(G16)))</formula>
    </cfRule>
  </conditionalFormatting>
  <conditionalFormatting sqref="F24">
    <cfRule type="expression" dxfId="76" priority="7">
      <formula>AND(OR(NOT(ISBLANK(#REF!)),NOT(ISBLANK(#REF!))),ISBLANK(#REF!),ISBLANK(#REF!))</formula>
    </cfRule>
  </conditionalFormatting>
  <conditionalFormatting sqref="G24">
    <cfRule type="expression" dxfId="75" priority="8">
      <formula>AND(OR(NOT(ISBLANK(#REF!)),NOT(ISBLANK(#REF!))),ISBLANK(#REF!),ISBLANK(#REF!))</formula>
    </cfRule>
  </conditionalFormatting>
  <conditionalFormatting sqref="D24">
    <cfRule type="expression" dxfId="74" priority="10">
      <formula>NOT(AND(ISBLANK(#REF!),ISBLANK(#REF!)))</formula>
    </cfRule>
  </conditionalFormatting>
  <conditionalFormatting sqref="H24">
    <cfRule type="cellIs" dxfId="73" priority="11" operator="equal">
      <formula>OR(#REF!="Number",#REF!= "Point")</formula>
    </cfRule>
  </conditionalFormatting>
  <dataValidations count="7">
    <dataValidation type="list" allowBlank="1" showInputMessage="1" showErrorMessage="1" sqref="D16:D30" xr:uid="{1CC6D823-D70E-493A-A8B8-C5BF4F89A008}">
      <formula1>PickLists</formula1>
    </dataValidation>
    <dataValidation type="list" allowBlank="1" showInputMessage="1" sqref="E16:E32770" xr:uid="{7C53E6D2-D8BF-4410-99B6-8B16FC7E9140}">
      <formula1>SpecialValues</formula1>
    </dataValidation>
    <dataValidation type="list" allowBlank="1" showInputMessage="1" showErrorMessage="1" sqref="C14 C16:C1048576" xr:uid="{DC95E4FE-C11D-48AB-84AE-12A58882FAB8}">
      <formula1>PropertyDataType</formula1>
    </dataValidation>
    <dataValidation type="list" allowBlank="1" showInputMessage="1" showErrorMessage="1" sqref="H14 H16:H1048576" xr:uid="{1DD9B7C5-0D77-4D03-913F-A91FEFC5EC4B}">
      <formula1>ECUnits</formula1>
    </dataValidation>
    <dataValidation type="list" allowBlank="1" showInputMessage="1" showErrorMessage="1" sqref="A2:A10 A16:A1048576" xr:uid="{F931395D-C080-4BC0-85FD-CE88E9DCADAE}">
      <formula1>RowHeader</formula1>
    </dataValidation>
    <dataValidation type="list" allowBlank="1" showInputMessage="1" showErrorMessage="1" sqref="E1 E14:E15 E32771:E1048576 E11:E12" xr:uid="{08D90FB2-803D-41A7-BE8A-ACB5044C2CF0}">
      <formula1>SpecialValues</formula1>
    </dataValidation>
    <dataValidation allowBlank="1" showInputMessage="1" showErrorMessage="1" sqref="E13" xr:uid="{2CD42523-602C-4CEC-BD6F-322D9F997790}"/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591E-B79D-4DC5-A348-169BD9FA53A7}">
  <sheetPr codeName="Sheet18"/>
  <dimension ref="A1:I28"/>
  <sheetViews>
    <sheetView workbookViewId="0">
      <pane ySplit="13" topLeftCell="A14" activePane="bottomLeft" state="frozenSplit"/>
      <selection activeCell="E16" sqref="E16 E16"/>
      <selection pane="bottomLeft" activeCell="F24" sqref="F24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543</v>
      </c>
      <c r="C16" s="1" t="s">
        <v>33</v>
      </c>
      <c r="D16" s="1" t="s">
        <v>519</v>
      </c>
      <c r="E16" s="1" t="s">
        <v>521</v>
      </c>
    </row>
    <row r="17" spans="1:8" x14ac:dyDescent="0.25">
      <c r="A17" s="4" t="s">
        <v>26</v>
      </c>
      <c r="B17" s="1" t="s">
        <v>544</v>
      </c>
      <c r="C17" s="1" t="s">
        <v>33</v>
      </c>
      <c r="D17" s="1" t="s">
        <v>518</v>
      </c>
      <c r="E17" s="1" t="s">
        <v>559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575</v>
      </c>
    </row>
    <row r="19" spans="1:8" x14ac:dyDescent="0.25">
      <c r="A19" s="4" t="s">
        <v>26</v>
      </c>
      <c r="B19" s="1" t="s">
        <v>545</v>
      </c>
      <c r="C19" s="1" t="s">
        <v>33</v>
      </c>
      <c r="F19" s="1" t="s">
        <v>576</v>
      </c>
    </row>
    <row r="20" spans="1:8" x14ac:dyDescent="0.25">
      <c r="A20" s="4" t="s">
        <v>26</v>
      </c>
      <c r="B20" s="1" t="s">
        <v>546</v>
      </c>
      <c r="C20" s="1" t="s">
        <v>33</v>
      </c>
      <c r="F20" s="1" t="s">
        <v>582</v>
      </c>
    </row>
    <row r="21" spans="1:8" x14ac:dyDescent="0.25">
      <c r="A21" s="4" t="s">
        <v>26</v>
      </c>
      <c r="B21" s="1" t="s">
        <v>547</v>
      </c>
      <c r="C21" s="1" t="s">
        <v>33</v>
      </c>
      <c r="F21" s="1" t="s">
        <v>583</v>
      </c>
    </row>
    <row r="22" spans="1:8" x14ac:dyDescent="0.25">
      <c r="A22" s="4" t="s">
        <v>26</v>
      </c>
      <c r="B22" s="1" t="s">
        <v>523</v>
      </c>
      <c r="C22" s="1" t="s">
        <v>29</v>
      </c>
      <c r="F22" s="1" t="s">
        <v>578</v>
      </c>
      <c r="H22" s="1" t="s">
        <v>143</v>
      </c>
    </row>
    <row r="23" spans="1:8" x14ac:dyDescent="0.25">
      <c r="A23" s="4" t="s">
        <v>26</v>
      </c>
      <c r="B23" s="1" t="s">
        <v>524</v>
      </c>
      <c r="C23" s="1" t="s">
        <v>29</v>
      </c>
      <c r="F23" s="1" t="s">
        <v>579</v>
      </c>
      <c r="H23" s="1" t="s">
        <v>143</v>
      </c>
    </row>
    <row r="24" spans="1:8" x14ac:dyDescent="0.25">
      <c r="A24" s="4" t="s">
        <v>26</v>
      </c>
      <c r="B24" s="1" t="s">
        <v>564</v>
      </c>
      <c r="C24" s="1" t="s">
        <v>33</v>
      </c>
      <c r="F24" s="1" t="s">
        <v>577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591</v>
      </c>
      <c r="H25" s="1" t="s">
        <v>109</v>
      </c>
    </row>
    <row r="26" spans="1:8" x14ac:dyDescent="0.25">
      <c r="A26" s="4" t="s">
        <v>26</v>
      </c>
      <c r="B26" s="1" t="s">
        <v>548</v>
      </c>
      <c r="C26" s="1" t="s">
        <v>29</v>
      </c>
      <c r="F26" s="1" t="s">
        <v>580</v>
      </c>
      <c r="H26" s="1" t="s">
        <v>51</v>
      </c>
    </row>
    <row r="27" spans="1:8" s="1" customFormat="1" x14ac:dyDescent="0.25">
      <c r="A27" s="4" t="s">
        <v>26</v>
      </c>
      <c r="B27" s="1" t="s">
        <v>571</v>
      </c>
      <c r="C27" s="1" t="s">
        <v>29</v>
      </c>
      <c r="F27" s="1" t="s">
        <v>581</v>
      </c>
      <c r="H27" s="1" t="s">
        <v>51</v>
      </c>
    </row>
    <row r="28" spans="1:8" s="1" customFormat="1" x14ac:dyDescent="0.25">
      <c r="A28" s="4" t="s">
        <v>26</v>
      </c>
      <c r="B28" s="1" t="s">
        <v>549</v>
      </c>
      <c r="C28" s="1" t="s">
        <v>29</v>
      </c>
      <c r="F28" s="23" t="s">
        <v>572</v>
      </c>
      <c r="H28" s="1" t="s">
        <v>51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29:F32769 F26 F16:F24">
    <cfRule type="expression" dxfId="72" priority="12">
      <formula>AND(OR(NOT(ISBLANK(D16)),NOT(ISBLANK(E16))),ISBLANK(F16),ISBLANK(G16))</formula>
    </cfRule>
  </conditionalFormatting>
  <conditionalFormatting sqref="G16:G24 G26 G29:G32769">
    <cfRule type="expression" dxfId="71" priority="13">
      <formula>AND(OR(NOT(ISBLANK(D16)),NOT(ISBLANK(E16))),ISBLANK(F16),ISBLANK(G16))</formula>
    </cfRule>
  </conditionalFormatting>
  <conditionalFormatting sqref="E16:E24 E26 E29:E32769">
    <cfRule type="expression" dxfId="70" priority="14">
      <formula>NOT(AND(ISBLANK(F16),ISBLANK(G16)))</formula>
    </cfRule>
  </conditionalFormatting>
  <conditionalFormatting sqref="D16:D24 D26 D29:D32769">
    <cfRule type="expression" dxfId="69" priority="15">
      <formula>NOT(AND(ISBLANK(F16),ISBLANK(G16)))</formula>
    </cfRule>
  </conditionalFormatting>
  <conditionalFormatting sqref="H16:H24 H26 H29:H32769">
    <cfRule type="cellIs" dxfId="68" priority="16" operator="equal">
      <formula>OR($C16="Number", $C16="Point")</formula>
    </cfRule>
  </conditionalFormatting>
  <conditionalFormatting sqref="F25">
    <cfRule type="expression" dxfId="67" priority="7">
      <formula>AND(OR(NOT(ISBLANK(D25)),NOT(ISBLANK(E25))),ISBLANK(F25),ISBLANK(G25))</formula>
    </cfRule>
  </conditionalFormatting>
  <conditionalFormatting sqref="G25">
    <cfRule type="expression" dxfId="66" priority="8">
      <formula>AND(OR(NOT(ISBLANK(D25)),NOT(ISBLANK(E25))),ISBLANK(F25),ISBLANK(G25))</formula>
    </cfRule>
  </conditionalFormatting>
  <conditionalFormatting sqref="E25">
    <cfRule type="expression" dxfId="65" priority="9">
      <formula>NOT(AND(ISBLANK(F25),ISBLANK(G25)))</formula>
    </cfRule>
  </conditionalFormatting>
  <conditionalFormatting sqref="D25">
    <cfRule type="expression" dxfId="64" priority="10">
      <formula>NOT(AND(ISBLANK(F25),ISBLANK(G25)))</formula>
    </cfRule>
  </conditionalFormatting>
  <conditionalFormatting sqref="H25">
    <cfRule type="cellIs" dxfId="63" priority="11" operator="equal">
      <formula>OR($C25="Number", $C25="Point")</formula>
    </cfRule>
  </conditionalFormatting>
  <conditionalFormatting sqref="F28">
    <cfRule type="expression" dxfId="62" priority="2">
      <formula>AND(OR(NOT(ISBLANK(D28)),NOT(ISBLANK(E28))),ISBLANK(F28),ISBLANK(G28))</formula>
    </cfRule>
  </conditionalFormatting>
  <conditionalFormatting sqref="G27:G28">
    <cfRule type="expression" dxfId="61" priority="3">
      <formula>AND(OR(NOT(ISBLANK(D27)),NOT(ISBLANK(E27))),ISBLANK(F27),ISBLANK(G27))</formula>
    </cfRule>
  </conditionalFormatting>
  <conditionalFormatting sqref="E27:E28">
    <cfRule type="expression" dxfId="60" priority="4">
      <formula>NOT(AND(ISBLANK(F27),ISBLANK(G27)))</formula>
    </cfRule>
  </conditionalFormatting>
  <conditionalFormatting sqref="D27:D28">
    <cfRule type="expression" dxfId="59" priority="5">
      <formula>NOT(AND(ISBLANK(F27),ISBLANK(G27)))</formula>
    </cfRule>
  </conditionalFormatting>
  <conditionalFormatting sqref="H27:H28">
    <cfRule type="cellIs" dxfId="58" priority="6" operator="equal">
      <formula>OR($C27="Number", $C27="Point")</formula>
    </cfRule>
  </conditionalFormatting>
  <conditionalFormatting sqref="F27">
    <cfRule type="expression" dxfId="57" priority="1">
      <formula>AND(OR(NOT(ISBLANK(D27)),NOT(ISBLANK(E27))),ISBLANK(F27),ISBLANK(G27))</formula>
    </cfRule>
  </conditionalFormatting>
  <dataValidations count="7">
    <dataValidation type="list" allowBlank="1" showInputMessage="1" sqref="E16:E32769" xr:uid="{AF756F3E-CB6E-42E9-B268-CA06F214F467}">
      <formula1>SpecialValues</formula1>
    </dataValidation>
    <dataValidation allowBlank="1" showInputMessage="1" showErrorMessage="1" sqref="E13" xr:uid="{33DEBA09-97AA-4C72-88E4-F9A7082499BD}"/>
    <dataValidation type="list" allowBlank="1" showInputMessage="1" showErrorMessage="1" sqref="E1 E14:E15 E32770:E1048576 E11:E12" xr:uid="{17851A5E-1208-4B72-8E47-68019AC93C05}">
      <formula1>SpecialValues</formula1>
    </dataValidation>
    <dataValidation type="list" allowBlank="1" showInputMessage="1" showErrorMessage="1" sqref="A2:A10 A16:A1048576" xr:uid="{C87601C7-A894-4947-9DB1-73D6879F1DC9}">
      <formula1>RowHeader</formula1>
    </dataValidation>
    <dataValidation type="list" allowBlank="1" showInputMessage="1" showErrorMessage="1" sqref="H14 H16:H1048576" xr:uid="{30622794-BC39-4679-8BC3-92FE49AE7555}">
      <formula1>ECUnits</formula1>
    </dataValidation>
    <dataValidation type="list" allowBlank="1" showInputMessage="1" showErrorMessage="1" sqref="C14 C16:C1048576" xr:uid="{46A67E74-5EFA-415B-B226-3260831B2234}">
      <formula1>PropertyDataType</formula1>
    </dataValidation>
    <dataValidation type="list" allowBlank="1" showInputMessage="1" showErrorMessage="1" sqref="D16:D29" xr:uid="{A78D62D5-7408-4A64-A639-A19151144CD0}">
      <formula1>PickLists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3887-2A55-4424-A59C-18958735FD5B}">
  <sheetPr codeName="Sheet14"/>
  <dimension ref="A1:I22"/>
  <sheetViews>
    <sheetView workbookViewId="0">
      <pane ySplit="13" topLeftCell="A14" activePane="bottomLeft" state="frozenSplit"/>
      <selection activeCell="E16" sqref="E16 E16"/>
      <selection pane="bottomLeft" activeCell="B24" sqref="B24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529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530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531</v>
      </c>
      <c r="C18" s="1" t="s">
        <v>29</v>
      </c>
      <c r="E18" s="1" t="s">
        <v>42</v>
      </c>
      <c r="H18" s="1" t="s">
        <v>103</v>
      </c>
    </row>
    <row r="19" spans="1:8" x14ac:dyDescent="0.25">
      <c r="A19" s="4" t="s">
        <v>26</v>
      </c>
      <c r="B19" s="1" t="s">
        <v>542</v>
      </c>
      <c r="C19" s="1" t="s">
        <v>29</v>
      </c>
      <c r="E19" s="1" t="s">
        <v>43</v>
      </c>
      <c r="H19" s="1" t="s">
        <v>103</v>
      </c>
    </row>
    <row r="20" spans="1:8" x14ac:dyDescent="0.25">
      <c r="A20" s="4" t="s">
        <v>26</v>
      </c>
      <c r="B20" s="1" t="s">
        <v>532</v>
      </c>
      <c r="C20" s="1" t="s">
        <v>33</v>
      </c>
      <c r="E20" s="1" t="s">
        <v>44</v>
      </c>
    </row>
    <row r="21" spans="1:8" x14ac:dyDescent="0.25">
      <c r="A21" s="4" t="s">
        <v>26</v>
      </c>
      <c r="B21" s="1" t="s">
        <v>527</v>
      </c>
      <c r="C21" s="1" t="s">
        <v>33</v>
      </c>
      <c r="E21" s="1" t="s">
        <v>40</v>
      </c>
    </row>
    <row r="22" spans="1:8" x14ac:dyDescent="0.25">
      <c r="A22" s="4" t="s">
        <v>26</v>
      </c>
      <c r="B22" s="1" t="s">
        <v>528</v>
      </c>
      <c r="C22" s="1" t="s">
        <v>33</v>
      </c>
      <c r="E22" s="1" t="s">
        <v>32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6:F32768">
    <cfRule type="expression" dxfId="56" priority="1">
      <formula>AND(OR(NOT(ISBLANK(D16)),NOT(ISBLANK(E16))),ISBLANK(F16),ISBLANK(G16))</formula>
    </cfRule>
  </conditionalFormatting>
  <conditionalFormatting sqref="G16:G32768">
    <cfRule type="expression" dxfId="55" priority="2">
      <formula>AND(OR(NOT(ISBLANK(D16)),NOT(ISBLANK(E16))),ISBLANK(F16),ISBLANK(G16))</formula>
    </cfRule>
  </conditionalFormatting>
  <conditionalFormatting sqref="E16:E32768">
    <cfRule type="expression" dxfId="54" priority="3">
      <formula>NOT(AND(ISBLANK(F16),ISBLANK(G16)))</formula>
    </cfRule>
  </conditionalFormatting>
  <conditionalFormatting sqref="D16:D32768">
    <cfRule type="expression" dxfId="53" priority="4">
      <formula>NOT(AND(ISBLANK(F16),ISBLANK(G16)))</formula>
    </cfRule>
  </conditionalFormatting>
  <conditionalFormatting sqref="H16:H32768">
    <cfRule type="cellIs" dxfId="52" priority="5" operator="equal">
      <formula>OR($C16="Number", $C16="Point")</formula>
    </cfRule>
  </conditionalFormatting>
  <dataValidations count="7">
    <dataValidation type="list" allowBlank="1" showInputMessage="1" sqref="E16:E32768" xr:uid="{4FB60D2B-57FF-4A57-AF0A-45F2126C4B3B}">
      <formula1>SpecialValues</formula1>
    </dataValidation>
    <dataValidation allowBlank="1" showInputMessage="1" showErrorMessage="1" sqref="E13" xr:uid="{ED8610B5-A174-4291-ACB0-F220E7548ABD}"/>
    <dataValidation type="list" allowBlank="1" showInputMessage="1" showErrorMessage="1" sqref="E1 E14:E15 E32769:E1048576 E11:E12" xr:uid="{B0A3A2E2-80D6-4BB4-AFFB-9BE0BECDB4A1}">
      <formula1>SpecialValues</formula1>
    </dataValidation>
    <dataValidation type="list" allowBlank="1" showInputMessage="1" showErrorMessage="1" sqref="A2:A10 A16:A1048576" xr:uid="{5C945EA4-AF03-472D-8AB1-86096E4610FE}">
      <formula1>RowHeader</formula1>
    </dataValidation>
    <dataValidation type="list" allowBlank="1" showInputMessage="1" showErrorMessage="1" sqref="H14 H16:H1048576" xr:uid="{F57C34A2-2810-4162-B3CF-2B1EF1CA23D1}">
      <formula1>ECUnits</formula1>
    </dataValidation>
    <dataValidation type="list" allowBlank="1" showInputMessage="1" showErrorMessage="1" sqref="C14 C16:C1048576" xr:uid="{5F348BB9-C38E-4B00-9D66-23354FED5A9A}">
      <formula1>PropertyDataType</formula1>
    </dataValidation>
    <dataValidation type="list" allowBlank="1" showInputMessage="1" showErrorMessage="1" sqref="D16:D28" xr:uid="{CDB873FA-50F8-4CB6-9569-5D382EEE3B68}">
      <formula1>PickLists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BB5D-51DF-4655-ADAC-3B2D613FAB0E}">
  <sheetPr codeName="Sheet16"/>
  <dimension ref="A1:I28"/>
  <sheetViews>
    <sheetView workbookViewId="0">
      <pane ySplit="13" topLeftCell="A14" activePane="bottomLeft" state="frozenSplit"/>
      <selection activeCell="E16" sqref="E16 E16"/>
      <selection pane="bottomLeft" activeCell="F23" sqref="F23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543</v>
      </c>
      <c r="C16" s="1" t="s">
        <v>33</v>
      </c>
      <c r="D16" s="1" t="s">
        <v>519</v>
      </c>
      <c r="E16" s="1" t="s">
        <v>520</v>
      </c>
    </row>
    <row r="17" spans="1:8" x14ac:dyDescent="0.25">
      <c r="A17" s="4" t="s">
        <v>26</v>
      </c>
      <c r="B17" s="1" t="s">
        <v>544</v>
      </c>
      <c r="C17" s="1" t="s">
        <v>33</v>
      </c>
      <c r="D17" s="1" t="s">
        <v>518</v>
      </c>
      <c r="E17" s="1" t="s">
        <v>559</v>
      </c>
    </row>
    <row r="18" spans="1:8" x14ac:dyDescent="0.25">
      <c r="A18" s="4" t="s">
        <v>26</v>
      </c>
      <c r="B18" s="1" t="s">
        <v>33</v>
      </c>
      <c r="C18" s="1" t="s">
        <v>33</v>
      </c>
      <c r="E18" s="1">
        <v>45</v>
      </c>
    </row>
    <row r="19" spans="1:8" x14ac:dyDescent="0.25">
      <c r="A19" s="4" t="s">
        <v>26</v>
      </c>
      <c r="B19" s="1" t="s">
        <v>545</v>
      </c>
      <c r="C19" s="1" t="s">
        <v>33</v>
      </c>
      <c r="E19" s="1" t="s">
        <v>553</v>
      </c>
    </row>
    <row r="20" spans="1:8" x14ac:dyDescent="0.25">
      <c r="A20" s="4" t="s">
        <v>26</v>
      </c>
      <c r="B20" s="1" t="s">
        <v>546</v>
      </c>
      <c r="C20" s="1" t="s">
        <v>33</v>
      </c>
      <c r="E20" s="1" t="s">
        <v>526</v>
      </c>
    </row>
    <row r="21" spans="1:8" x14ac:dyDescent="0.25">
      <c r="A21" s="4" t="s">
        <v>26</v>
      </c>
      <c r="B21" s="1" t="s">
        <v>547</v>
      </c>
      <c r="C21" s="1" t="s">
        <v>33</v>
      </c>
      <c r="E21" s="1" t="s">
        <v>552</v>
      </c>
    </row>
    <row r="22" spans="1:8" x14ac:dyDescent="0.25">
      <c r="A22" s="4" t="s">
        <v>26</v>
      </c>
      <c r="B22" s="1" t="s">
        <v>523</v>
      </c>
      <c r="C22" s="1" t="s">
        <v>29</v>
      </c>
      <c r="H22" s="1" t="s">
        <v>143</v>
      </c>
    </row>
    <row r="23" spans="1:8" s="1" customFormat="1" x14ac:dyDescent="0.25">
      <c r="A23" s="4" t="s">
        <v>26</v>
      </c>
      <c r="B23" s="1" t="s">
        <v>524</v>
      </c>
      <c r="C23" s="1" t="s">
        <v>29</v>
      </c>
      <c r="H23" s="1" t="s">
        <v>143</v>
      </c>
    </row>
    <row r="24" spans="1:8" x14ac:dyDescent="0.25">
      <c r="A24" s="4" t="s">
        <v>26</v>
      </c>
      <c r="B24" s="1" t="s">
        <v>564</v>
      </c>
      <c r="C24" s="1" t="s">
        <v>33</v>
      </c>
      <c r="D24" s="1" t="s">
        <v>565</v>
      </c>
      <c r="E24" s="1" t="s">
        <v>566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591</v>
      </c>
      <c r="H25" s="1" t="s">
        <v>109</v>
      </c>
    </row>
    <row r="26" spans="1:8" s="1" customFormat="1" x14ac:dyDescent="0.25">
      <c r="A26" s="4" t="s">
        <v>26</v>
      </c>
      <c r="B26" s="1" t="s">
        <v>548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571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549</v>
      </c>
      <c r="C28" s="1" t="s">
        <v>29</v>
      </c>
      <c r="F28" s="23" t="s">
        <v>572</v>
      </c>
      <c r="H28" s="1" t="s">
        <v>51</v>
      </c>
    </row>
  </sheetData>
  <mergeCells count="23"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  <mergeCell ref="C5:D5"/>
    <mergeCell ref="E5:I5"/>
    <mergeCell ref="C6:D6"/>
    <mergeCell ref="E6:I6"/>
    <mergeCell ref="C7:D7"/>
    <mergeCell ref="E7:I7"/>
    <mergeCell ref="C4:D4"/>
    <mergeCell ref="E4:I4"/>
    <mergeCell ref="B1:I1"/>
    <mergeCell ref="C2:D2"/>
    <mergeCell ref="E2:I2"/>
    <mergeCell ref="C3:D3"/>
    <mergeCell ref="E3:I3"/>
  </mergeCells>
  <conditionalFormatting sqref="F16:F23 F26:F32770">
    <cfRule type="expression" dxfId="51" priority="17">
      <formula>AND(OR(NOT(ISBLANK(D16)),NOT(ISBLANK(E16))),ISBLANK(F16),ISBLANK(G16))</formula>
    </cfRule>
  </conditionalFormatting>
  <conditionalFormatting sqref="G16:G23 G26:G32770">
    <cfRule type="expression" dxfId="50" priority="18">
      <formula>AND(OR(NOT(ISBLANK(D16)),NOT(ISBLANK(E16))),ISBLANK(F16),ISBLANK(G16))</formula>
    </cfRule>
  </conditionalFormatting>
  <conditionalFormatting sqref="E16 E18:E23 E26:E32770">
    <cfRule type="expression" dxfId="49" priority="19">
      <formula>NOT(AND(ISBLANK(F16),ISBLANK(G16)))</formula>
    </cfRule>
  </conditionalFormatting>
  <conditionalFormatting sqref="D16:D23 D26:D32770">
    <cfRule type="expression" dxfId="48" priority="20">
      <formula>NOT(AND(ISBLANK(F16),ISBLANK(G16)))</formula>
    </cfRule>
  </conditionalFormatting>
  <conditionalFormatting sqref="H16:H23 H26:H32770">
    <cfRule type="cellIs" dxfId="47" priority="21" operator="equal">
      <formula>OR($C16="Number", $C16="Point")</formula>
    </cfRule>
  </conditionalFormatting>
  <conditionalFormatting sqref="E17">
    <cfRule type="expression" dxfId="46" priority="16">
      <formula>NOT(AND(ISBLANK(F17),ISBLANK(G17)))</formula>
    </cfRule>
  </conditionalFormatting>
  <conditionalFormatting sqref="F25">
    <cfRule type="expression" dxfId="45" priority="1">
      <formula>AND(OR(NOT(ISBLANK(D25)),NOT(ISBLANK(E25))),ISBLANK(F25),ISBLANK(G25))</formula>
    </cfRule>
  </conditionalFormatting>
  <conditionalFormatting sqref="G25">
    <cfRule type="expression" dxfId="44" priority="2">
      <formula>AND(OR(NOT(ISBLANK(D25)),NOT(ISBLANK(E25))),ISBLANK(F25),ISBLANK(G25))</formula>
    </cfRule>
  </conditionalFormatting>
  <conditionalFormatting sqref="E25">
    <cfRule type="expression" dxfId="43" priority="3">
      <formula>NOT(AND(ISBLANK(F25),ISBLANK(G25)))</formula>
    </cfRule>
  </conditionalFormatting>
  <conditionalFormatting sqref="D25">
    <cfRule type="expression" dxfId="42" priority="4">
      <formula>NOT(AND(ISBLANK(F25),ISBLANK(G25)))</formula>
    </cfRule>
  </conditionalFormatting>
  <conditionalFormatting sqref="H25">
    <cfRule type="cellIs" dxfId="41" priority="5" operator="equal">
      <formula>OR($C25="Number", $C25="Point")</formula>
    </cfRule>
  </conditionalFormatting>
  <conditionalFormatting sqref="F24">
    <cfRule type="expression" dxfId="40" priority="11">
      <formula>AND(OR(NOT(ISBLANK(#REF!)),NOT(ISBLANK(#REF!))),ISBLANK(#REF!),ISBLANK(#REF!))</formula>
    </cfRule>
  </conditionalFormatting>
  <conditionalFormatting sqref="G24">
    <cfRule type="expression" dxfId="39" priority="12">
      <formula>AND(OR(NOT(ISBLANK(#REF!)),NOT(ISBLANK(#REF!))),ISBLANK(#REF!),ISBLANK(#REF!))</formula>
    </cfRule>
  </conditionalFormatting>
  <conditionalFormatting sqref="E24">
    <cfRule type="expression" dxfId="38" priority="13">
      <formula>NOT(AND(ISBLANK(#REF!),ISBLANK(#REF!)))</formula>
    </cfRule>
  </conditionalFormatting>
  <conditionalFormatting sqref="D24">
    <cfRule type="expression" dxfId="37" priority="14">
      <formula>NOT(AND(ISBLANK(#REF!),ISBLANK(#REF!)))</formula>
    </cfRule>
  </conditionalFormatting>
  <conditionalFormatting sqref="H24">
    <cfRule type="cellIs" dxfId="36" priority="15" operator="equal">
      <formula>OR(#REF!="Number",#REF!= "Point")</formula>
    </cfRule>
  </conditionalFormatting>
  <dataValidations count="7">
    <dataValidation allowBlank="1" showInputMessage="1" showErrorMessage="1" sqref="E13" xr:uid="{24A00202-F8CA-4E83-BD6E-962349CBBCB0}"/>
    <dataValidation type="list" allowBlank="1" showInputMessage="1" showErrorMessage="1" sqref="E1 E14:E15 E32771:E1048576 E11:E12" xr:uid="{92BD0F74-E5FD-4536-834C-534D29258DBE}">
      <formula1>SpecialValues</formula1>
    </dataValidation>
    <dataValidation type="list" allowBlank="1" showInputMessage="1" showErrorMessage="1" sqref="A2:A10 A16:A1048576" xr:uid="{1A7F2CA3-C939-4D44-A587-FA473BDC6CD7}">
      <formula1>RowHeader</formula1>
    </dataValidation>
    <dataValidation type="list" allowBlank="1" showInputMessage="1" showErrorMessage="1" sqref="H14 H16:H1048576" xr:uid="{0E845556-3587-46A1-8CB4-8AA905ADE243}">
      <formula1>ECUnits</formula1>
    </dataValidation>
    <dataValidation type="list" allowBlank="1" showInputMessage="1" showErrorMessage="1" sqref="C14 C16:C1048576" xr:uid="{AD65FD32-52A3-4F37-8ED1-2D3703007119}">
      <formula1>PropertyDataType</formula1>
    </dataValidation>
    <dataValidation type="list" allowBlank="1" showInputMessage="1" sqref="E16:E32770" xr:uid="{2F42638D-CA70-462E-925F-04E0FD13D870}">
      <formula1>SpecialValues</formula1>
    </dataValidation>
    <dataValidation type="list" allowBlank="1" showInputMessage="1" showErrorMessage="1" sqref="D16:D30" xr:uid="{8C409AFF-BAEC-4D88-9C95-9A18846F781A}">
      <formula1>PickLists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BD51A-0E9A-4170-802F-DE378BCEA06B}">
  <sheetPr codeName="Sheet19"/>
  <dimension ref="A1:I28"/>
  <sheetViews>
    <sheetView workbookViewId="0">
      <pane ySplit="13" topLeftCell="A14" activePane="bottomLeft" state="frozenSplit"/>
      <selection activeCell="E16" sqref="E16 E16"/>
      <selection pane="bottomLeft" activeCell="F25" sqref="F25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 t="s">
        <v>588</v>
      </c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543</v>
      </c>
      <c r="C16" s="1" t="s">
        <v>33</v>
      </c>
      <c r="D16" s="1" t="s">
        <v>519</v>
      </c>
    </row>
    <row r="17" spans="1:8" x14ac:dyDescent="0.25">
      <c r="A17" s="4" t="s">
        <v>26</v>
      </c>
      <c r="B17" s="1" t="s">
        <v>544</v>
      </c>
      <c r="C17" s="1" t="s">
        <v>33</v>
      </c>
      <c r="D17" s="1" t="s">
        <v>518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575</v>
      </c>
    </row>
    <row r="19" spans="1:8" x14ac:dyDescent="0.25">
      <c r="A19" s="4" t="s">
        <v>26</v>
      </c>
      <c r="B19" s="1" t="s">
        <v>545</v>
      </c>
      <c r="C19" s="1" t="s">
        <v>33</v>
      </c>
      <c r="F19" s="1" t="s">
        <v>576</v>
      </c>
    </row>
    <row r="20" spans="1:8" x14ac:dyDescent="0.25">
      <c r="A20" s="4" t="s">
        <v>26</v>
      </c>
      <c r="B20" s="1" t="s">
        <v>546</v>
      </c>
      <c r="C20" s="1" t="s">
        <v>33</v>
      </c>
      <c r="F20" s="1" t="s">
        <v>582</v>
      </c>
    </row>
    <row r="21" spans="1:8" x14ac:dyDescent="0.25">
      <c r="A21" s="4" t="s">
        <v>26</v>
      </c>
      <c r="B21" s="1" t="s">
        <v>547</v>
      </c>
      <c r="C21" s="1" t="s">
        <v>33</v>
      </c>
      <c r="F21" s="1" t="s">
        <v>583</v>
      </c>
    </row>
    <row r="22" spans="1:8" x14ac:dyDescent="0.25">
      <c r="A22" s="4" t="s">
        <v>26</v>
      </c>
      <c r="B22" s="1" t="s">
        <v>523</v>
      </c>
      <c r="C22" s="1" t="s">
        <v>29</v>
      </c>
      <c r="F22" s="1" t="s">
        <v>578</v>
      </c>
      <c r="H22" s="1" t="s">
        <v>143</v>
      </c>
    </row>
    <row r="23" spans="1:8" x14ac:dyDescent="0.25">
      <c r="A23" s="4" t="s">
        <v>26</v>
      </c>
      <c r="B23" s="1" t="s">
        <v>524</v>
      </c>
      <c r="C23" s="1" t="s">
        <v>29</v>
      </c>
      <c r="F23" s="1" t="s">
        <v>579</v>
      </c>
      <c r="H23" s="1" t="s">
        <v>143</v>
      </c>
    </row>
    <row r="24" spans="1:8" x14ac:dyDescent="0.25">
      <c r="A24" s="4" t="s">
        <v>26</v>
      </c>
      <c r="B24" s="1" t="s">
        <v>564</v>
      </c>
      <c r="C24" s="1" t="s">
        <v>33</v>
      </c>
      <c r="F24" s="1" t="s">
        <v>577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591</v>
      </c>
      <c r="H25" s="1" t="s">
        <v>109</v>
      </c>
    </row>
    <row r="26" spans="1:8" x14ac:dyDescent="0.25">
      <c r="A26" s="4" t="s">
        <v>26</v>
      </c>
      <c r="B26" s="1" t="s">
        <v>548</v>
      </c>
      <c r="C26" s="1" t="s">
        <v>29</v>
      </c>
      <c r="F26" s="1" t="s">
        <v>580</v>
      </c>
      <c r="H26" s="1" t="s">
        <v>51</v>
      </c>
    </row>
    <row r="27" spans="1:8" s="1" customFormat="1" x14ac:dyDescent="0.25">
      <c r="A27" s="4" t="s">
        <v>26</v>
      </c>
      <c r="B27" s="1" t="s">
        <v>571</v>
      </c>
      <c r="C27" s="1" t="s">
        <v>29</v>
      </c>
      <c r="F27" s="1" t="s">
        <v>581</v>
      </c>
      <c r="H27" s="1" t="s">
        <v>51</v>
      </c>
    </row>
    <row r="28" spans="1:8" s="1" customFormat="1" x14ac:dyDescent="0.25">
      <c r="A28" s="4" t="s">
        <v>26</v>
      </c>
      <c r="B28" s="1" t="s">
        <v>549</v>
      </c>
      <c r="C28" s="1" t="s">
        <v>29</v>
      </c>
      <c r="F28" s="23" t="s">
        <v>572</v>
      </c>
      <c r="H28" s="1" t="s">
        <v>51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29:F32770">
    <cfRule type="expression" dxfId="35" priority="28">
      <formula>AND(OR(NOT(ISBLANK(D29)),NOT(ISBLANK(E29))),ISBLANK(F29),ISBLANK(G29))</formula>
    </cfRule>
  </conditionalFormatting>
  <conditionalFormatting sqref="G29:G32770">
    <cfRule type="expression" dxfId="34" priority="29">
      <formula>AND(OR(NOT(ISBLANK(D29)),NOT(ISBLANK(E29))),ISBLANK(F29),ISBLANK(G29))</formula>
    </cfRule>
  </conditionalFormatting>
  <conditionalFormatting sqref="E29:E32770">
    <cfRule type="expression" dxfId="33" priority="30">
      <formula>NOT(AND(ISBLANK(F29),ISBLANK(G29)))</formula>
    </cfRule>
  </conditionalFormatting>
  <conditionalFormatting sqref="D29:D32770">
    <cfRule type="expression" dxfId="32" priority="31">
      <formula>NOT(AND(ISBLANK(F29),ISBLANK(G29)))</formula>
    </cfRule>
  </conditionalFormatting>
  <conditionalFormatting sqref="H29:H32770">
    <cfRule type="cellIs" dxfId="31" priority="32" operator="equal">
      <formula>OR($C29="Number", $C29="Point")</formula>
    </cfRule>
  </conditionalFormatting>
  <conditionalFormatting sqref="F26 F16:F24">
    <cfRule type="expression" dxfId="30" priority="12">
      <formula>AND(OR(NOT(ISBLANK(D16)),NOT(ISBLANK(E16))),ISBLANK(F16),ISBLANK(G16))</formula>
    </cfRule>
  </conditionalFormatting>
  <conditionalFormatting sqref="G16:G24 G26">
    <cfRule type="expression" dxfId="29" priority="13">
      <formula>AND(OR(NOT(ISBLANK(D16)),NOT(ISBLANK(E16))),ISBLANK(F16),ISBLANK(G16))</formula>
    </cfRule>
  </conditionalFormatting>
  <conditionalFormatting sqref="E16:E24 E26">
    <cfRule type="expression" dxfId="28" priority="14">
      <formula>NOT(AND(ISBLANK(F16),ISBLANK(G16)))</formula>
    </cfRule>
  </conditionalFormatting>
  <conditionalFormatting sqref="D16:D24 D26">
    <cfRule type="expression" dxfId="27" priority="15">
      <formula>NOT(AND(ISBLANK(F16),ISBLANK(G16)))</formula>
    </cfRule>
  </conditionalFormatting>
  <conditionalFormatting sqref="H16:H24 H26">
    <cfRule type="cellIs" dxfId="26" priority="16" operator="equal">
      <formula>OR($C16="Number", $C16="Point")</formula>
    </cfRule>
  </conditionalFormatting>
  <conditionalFormatting sqref="F25">
    <cfRule type="expression" dxfId="25" priority="7">
      <formula>AND(OR(NOT(ISBLANK(D25)),NOT(ISBLANK(E25))),ISBLANK(F25),ISBLANK(G25))</formula>
    </cfRule>
  </conditionalFormatting>
  <conditionalFormatting sqref="G25">
    <cfRule type="expression" dxfId="24" priority="8">
      <formula>AND(OR(NOT(ISBLANK(D25)),NOT(ISBLANK(E25))),ISBLANK(F25),ISBLANK(G25))</formula>
    </cfRule>
  </conditionalFormatting>
  <conditionalFormatting sqref="E25">
    <cfRule type="expression" dxfId="23" priority="9">
      <formula>NOT(AND(ISBLANK(F25),ISBLANK(G25)))</formula>
    </cfRule>
  </conditionalFormatting>
  <conditionalFormatting sqref="D25">
    <cfRule type="expression" dxfId="22" priority="10">
      <formula>NOT(AND(ISBLANK(F25),ISBLANK(G25)))</formula>
    </cfRule>
  </conditionalFormatting>
  <conditionalFormatting sqref="H25">
    <cfRule type="cellIs" dxfId="21" priority="11" operator="equal">
      <formula>OR($C25="Number", $C25="Point")</formula>
    </cfRule>
  </conditionalFormatting>
  <conditionalFormatting sqref="F28">
    <cfRule type="expression" dxfId="20" priority="2">
      <formula>AND(OR(NOT(ISBLANK(D28)),NOT(ISBLANK(E28))),ISBLANK(F28),ISBLANK(G28))</formula>
    </cfRule>
  </conditionalFormatting>
  <conditionalFormatting sqref="G27:G28">
    <cfRule type="expression" dxfId="19" priority="3">
      <formula>AND(OR(NOT(ISBLANK(D27)),NOT(ISBLANK(E27))),ISBLANK(F27),ISBLANK(G27))</formula>
    </cfRule>
  </conditionalFormatting>
  <conditionalFormatting sqref="E27:E28">
    <cfRule type="expression" dxfId="18" priority="4">
      <formula>NOT(AND(ISBLANK(F27),ISBLANK(G27)))</formula>
    </cfRule>
  </conditionalFormatting>
  <conditionalFormatting sqref="D27:D28">
    <cfRule type="expression" dxfId="17" priority="5">
      <formula>NOT(AND(ISBLANK(F27),ISBLANK(G27)))</formula>
    </cfRule>
  </conditionalFormatting>
  <conditionalFormatting sqref="H27:H28">
    <cfRule type="cellIs" dxfId="16" priority="6" operator="equal">
      <formula>OR($C27="Number", $C27="Point")</formula>
    </cfRule>
  </conditionalFormatting>
  <conditionalFormatting sqref="F27">
    <cfRule type="expression" dxfId="15" priority="1">
      <formula>AND(OR(NOT(ISBLANK(D27)),NOT(ISBLANK(E27))),ISBLANK(F27),ISBLANK(G27))</formula>
    </cfRule>
  </conditionalFormatting>
  <dataValidations count="7">
    <dataValidation type="list" allowBlank="1" showInputMessage="1" showErrorMessage="1" sqref="D16:D30" xr:uid="{9A0EE875-0FB1-4E17-BF8D-F6E0F4EF789D}">
      <formula1>PickLists</formula1>
    </dataValidation>
    <dataValidation type="list" allowBlank="1" showInputMessage="1" sqref="E16:E32770" xr:uid="{1946FB1A-4A85-48BD-9175-76F0B837EC6B}">
      <formula1>SpecialValues</formula1>
    </dataValidation>
    <dataValidation type="list" allowBlank="1" showInputMessage="1" showErrorMessage="1" sqref="C14 C16:C1048576" xr:uid="{59005F61-2EF3-4168-BFB9-E6BF447284E3}">
      <formula1>PropertyDataType</formula1>
    </dataValidation>
    <dataValidation type="list" allowBlank="1" showInputMessage="1" showErrorMessage="1" sqref="H14 H16:H1048576" xr:uid="{CC8546B3-1CC3-4B59-9C3C-4D9EB31006D3}">
      <formula1>ECUnits</formula1>
    </dataValidation>
    <dataValidation type="list" allowBlank="1" showInputMessage="1" showErrorMessage="1" sqref="A2:A10 A16:A1048576" xr:uid="{272AC9DE-72E2-4920-9A8A-7FDCF07AA9E7}">
      <formula1>RowHeader</formula1>
    </dataValidation>
    <dataValidation type="list" allowBlank="1" showInputMessage="1" showErrorMessage="1" sqref="E1 E14:E15 E32771:E1048576 E11:E12" xr:uid="{7A8DB2E2-F7EA-4C80-8DD4-AA59E1DCB774}">
      <formula1>SpecialValues</formula1>
    </dataValidation>
    <dataValidation allowBlank="1" showInputMessage="1" showErrorMessage="1" sqref="E13" xr:uid="{5439D80E-C436-4A91-93F2-1D08B63E2462}"/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111D-5B6F-47C8-8E76-99BE11947A78}">
  <sheetPr codeName="Sheet15"/>
  <dimension ref="A1:I24"/>
  <sheetViews>
    <sheetView tabSelected="1" workbookViewId="0">
      <pane ySplit="13" topLeftCell="A14" activePane="bottomLeft" state="frozenSplit"/>
      <selection activeCell="E16" sqref="E16 E16"/>
      <selection pane="bottomLeft" activeCell="F22" sqref="F22"/>
    </sheetView>
  </sheetViews>
  <sheetFormatPr defaultColWidth="9.140625" defaultRowHeight="14.3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33" t="s">
        <v>499</v>
      </c>
      <c r="F2" s="34"/>
      <c r="G2" s="34"/>
      <c r="H2" s="34"/>
      <c r="I2" s="35"/>
    </row>
    <row r="3" spans="1:9" s="20" customFormat="1" x14ac:dyDescent="0.25">
      <c r="A3" s="20" t="s">
        <v>23</v>
      </c>
      <c r="B3" s="21" t="s">
        <v>305</v>
      </c>
      <c r="C3" s="39"/>
      <c r="D3" s="39"/>
      <c r="E3" s="33" t="s">
        <v>500</v>
      </c>
      <c r="F3" s="34"/>
      <c r="G3" s="34"/>
      <c r="H3" s="34"/>
      <c r="I3" s="35"/>
    </row>
    <row r="4" spans="1:9" s="20" customFormat="1" x14ac:dyDescent="0.25">
      <c r="A4" s="20" t="s">
        <v>23</v>
      </c>
      <c r="B4" s="21" t="s">
        <v>501</v>
      </c>
      <c r="C4" s="39"/>
      <c r="D4" s="39"/>
      <c r="E4" s="33" t="s">
        <v>502</v>
      </c>
      <c r="F4" s="34"/>
      <c r="G4" s="34"/>
      <c r="H4" s="34"/>
      <c r="I4" s="35"/>
    </row>
    <row r="5" spans="1:9" s="20" customFormat="1" x14ac:dyDescent="0.25">
      <c r="A5" s="20" t="s">
        <v>23</v>
      </c>
      <c r="B5" s="21" t="s">
        <v>503</v>
      </c>
      <c r="C5" s="39"/>
      <c r="D5" s="39"/>
      <c r="E5" s="33" t="s">
        <v>504</v>
      </c>
      <c r="F5" s="34"/>
      <c r="G5" s="34"/>
      <c r="H5" s="34"/>
      <c r="I5" s="35"/>
    </row>
    <row r="6" spans="1:9" s="20" customFormat="1" x14ac:dyDescent="0.25">
      <c r="A6" s="20" t="s">
        <v>23</v>
      </c>
      <c r="B6" s="21" t="s">
        <v>311</v>
      </c>
      <c r="C6" s="39"/>
      <c r="D6" s="39"/>
      <c r="E6" s="33" t="s">
        <v>505</v>
      </c>
      <c r="F6" s="34"/>
      <c r="G6" s="34"/>
      <c r="H6" s="34"/>
      <c r="I6" s="35"/>
    </row>
    <row r="7" spans="1:9" s="20" customFormat="1" x14ac:dyDescent="0.25">
      <c r="A7" s="20" t="s">
        <v>23</v>
      </c>
      <c r="B7" s="21" t="s">
        <v>313</v>
      </c>
      <c r="C7" s="39"/>
      <c r="D7" s="39"/>
      <c r="E7" s="33" t="s">
        <v>506</v>
      </c>
      <c r="F7" s="34"/>
      <c r="G7" s="34"/>
      <c r="H7" s="34"/>
      <c r="I7" s="35"/>
    </row>
    <row r="8" spans="1:9" s="20" customFormat="1" x14ac:dyDescent="0.25">
      <c r="A8" s="20" t="s">
        <v>23</v>
      </c>
      <c r="B8" s="21" t="s">
        <v>315</v>
      </c>
      <c r="C8" s="39"/>
      <c r="D8" s="39"/>
      <c r="E8" s="33" t="s">
        <v>507</v>
      </c>
      <c r="F8" s="34"/>
      <c r="G8" s="34"/>
      <c r="H8" s="34"/>
      <c r="I8" s="35"/>
    </row>
    <row r="9" spans="1:9" s="20" customFormat="1" x14ac:dyDescent="0.25">
      <c r="A9" s="20" t="s">
        <v>23</v>
      </c>
      <c r="B9" s="21" t="s">
        <v>317</v>
      </c>
      <c r="C9" s="39"/>
      <c r="D9" s="39"/>
      <c r="E9" s="33" t="s">
        <v>508</v>
      </c>
      <c r="F9" s="34"/>
      <c r="G9" s="34"/>
      <c r="H9" s="34"/>
      <c r="I9" s="35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33" t="s">
        <v>509</v>
      </c>
      <c r="F10" s="34"/>
      <c r="G10" s="34"/>
      <c r="H10" s="34"/>
      <c r="I10" s="35"/>
    </row>
    <row r="11" spans="1:9" s="20" customFormat="1" x14ac:dyDescent="0.25">
      <c r="B11" s="29"/>
      <c r="C11" s="30"/>
      <c r="D11" s="30"/>
      <c r="E11" s="30"/>
      <c r="F11" s="30"/>
      <c r="G11" s="30"/>
      <c r="H11" s="30"/>
      <c r="I11" s="31"/>
    </row>
    <row r="12" spans="1:9" x14ac:dyDescent="0.25">
      <c r="B12" s="38" t="s">
        <v>510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511</v>
      </c>
      <c r="E13" s="22" t="s">
        <v>512</v>
      </c>
      <c r="F13" s="22" t="s">
        <v>513</v>
      </c>
      <c r="G13" s="22" t="s">
        <v>514</v>
      </c>
      <c r="H13" s="22" t="s">
        <v>515</v>
      </c>
      <c r="I13" s="22" t="s">
        <v>330</v>
      </c>
    </row>
    <row r="14" spans="1:9" x14ac:dyDescent="0.25">
      <c r="B14" s="36" t="s">
        <v>516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517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589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533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534</v>
      </c>
      <c r="C18" s="1" t="s">
        <v>33</v>
      </c>
      <c r="E18" s="1" t="s">
        <v>38</v>
      </c>
    </row>
    <row r="19" spans="1:8" x14ac:dyDescent="0.25">
      <c r="A19" s="4" t="s">
        <v>26</v>
      </c>
      <c r="B19" s="1" t="s">
        <v>535</v>
      </c>
      <c r="C19" s="1" t="s">
        <v>29</v>
      </c>
      <c r="E19" s="1" t="s">
        <v>42</v>
      </c>
      <c r="H19" s="1" t="s">
        <v>103</v>
      </c>
    </row>
    <row r="20" spans="1:8" x14ac:dyDescent="0.25">
      <c r="A20" s="4" t="s">
        <v>26</v>
      </c>
      <c r="B20" s="1" t="s">
        <v>540</v>
      </c>
      <c r="C20" s="1" t="s">
        <v>29</v>
      </c>
      <c r="E20" s="1" t="s">
        <v>34</v>
      </c>
      <c r="H20" s="1" t="s">
        <v>103</v>
      </c>
    </row>
    <row r="21" spans="1:8" x14ac:dyDescent="0.25">
      <c r="A21" s="4" t="s">
        <v>26</v>
      </c>
      <c r="B21" s="1" t="s">
        <v>536</v>
      </c>
      <c r="C21" s="1" t="s">
        <v>29</v>
      </c>
      <c r="E21" s="1">
        <v>10</v>
      </c>
      <c r="H21" s="1" t="s">
        <v>103</v>
      </c>
    </row>
    <row r="22" spans="1:8" x14ac:dyDescent="0.25">
      <c r="A22" s="4" t="s">
        <v>26</v>
      </c>
      <c r="B22" s="1" t="s">
        <v>537</v>
      </c>
      <c r="C22" s="1" t="s">
        <v>29</v>
      </c>
      <c r="F22" s="1" t="s">
        <v>592</v>
      </c>
      <c r="H22" s="1" t="s">
        <v>103</v>
      </c>
    </row>
    <row r="23" spans="1:8" x14ac:dyDescent="0.25">
      <c r="A23" s="4" t="s">
        <v>26</v>
      </c>
      <c r="B23" s="1" t="s">
        <v>538</v>
      </c>
      <c r="C23" s="1" t="s">
        <v>29</v>
      </c>
      <c r="F23" s="1" t="s">
        <v>550</v>
      </c>
      <c r="H23" s="1" t="s">
        <v>99</v>
      </c>
    </row>
    <row r="24" spans="1:8" x14ac:dyDescent="0.25">
      <c r="A24" s="4" t="s">
        <v>26</v>
      </c>
      <c r="B24" s="1" t="s">
        <v>539</v>
      </c>
      <c r="C24" s="1" t="s">
        <v>29</v>
      </c>
      <c r="F24" s="1" t="s">
        <v>541</v>
      </c>
      <c r="H24" s="1" t="s">
        <v>103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7:F20 F22:F32768">
    <cfRule type="expression" dxfId="14" priority="12">
      <formula>AND(OR(NOT(ISBLANK(D17)),NOT(ISBLANK(E17))),ISBLANK(F17),ISBLANK(G17))</formula>
    </cfRule>
  </conditionalFormatting>
  <conditionalFormatting sqref="G17:G20 G22:G32768">
    <cfRule type="expression" dxfId="13" priority="13">
      <formula>AND(OR(NOT(ISBLANK(D17)),NOT(ISBLANK(E17))),ISBLANK(F17),ISBLANK(G17))</formula>
    </cfRule>
  </conditionalFormatting>
  <conditionalFormatting sqref="E17:E20 E22:E32768">
    <cfRule type="expression" dxfId="12" priority="14">
      <formula>NOT(AND(ISBLANK(F17),ISBLANK(G17)))</formula>
    </cfRule>
  </conditionalFormatting>
  <conditionalFormatting sqref="D17:D20 D22:D32768">
    <cfRule type="expression" dxfId="11" priority="15">
      <formula>NOT(AND(ISBLANK(F17),ISBLANK(G17)))</formula>
    </cfRule>
  </conditionalFormatting>
  <conditionalFormatting sqref="H17:H20 H22:H32768">
    <cfRule type="cellIs" dxfId="10" priority="16" operator="equal">
      <formula>OR($C17="Number", $C17="Point")</formula>
    </cfRule>
  </conditionalFormatting>
  <conditionalFormatting sqref="F16">
    <cfRule type="expression" dxfId="9" priority="6">
      <formula>AND(OR(NOT(ISBLANK(D16)),NOT(ISBLANK(E16))),ISBLANK(F16),ISBLANK(G16))</formula>
    </cfRule>
  </conditionalFormatting>
  <conditionalFormatting sqref="G16">
    <cfRule type="expression" dxfId="8" priority="8">
      <formula>AND(OR(NOT(ISBLANK(D16)),NOT(ISBLANK(E16))),ISBLANK(F16),ISBLANK(G16))</formula>
    </cfRule>
  </conditionalFormatting>
  <conditionalFormatting sqref="E16">
    <cfRule type="expression" dxfId="7" priority="9">
      <formula>NOT(AND(ISBLANK(F16),ISBLANK(G16)))</formula>
    </cfRule>
  </conditionalFormatting>
  <conditionalFormatting sqref="D16">
    <cfRule type="expression" dxfId="6" priority="10">
      <formula>NOT(AND(ISBLANK(F16),ISBLANK(G16)))</formula>
    </cfRule>
  </conditionalFormatting>
  <conditionalFormatting sqref="H16">
    <cfRule type="cellIs" dxfId="5" priority="11" operator="equal">
      <formula>OR($C16="Number", $C16="Point")</formula>
    </cfRule>
  </conditionalFormatting>
  <conditionalFormatting sqref="F21">
    <cfRule type="expression" dxfId="4" priority="1">
      <formula>AND(OR(NOT(ISBLANK(D21)),NOT(ISBLANK(E21))),ISBLANK(F21),ISBLANK(G21))</formula>
    </cfRule>
  </conditionalFormatting>
  <conditionalFormatting sqref="G21">
    <cfRule type="expression" dxfId="3" priority="2">
      <formula>AND(OR(NOT(ISBLANK(D21)),NOT(ISBLANK(E21))),ISBLANK(F21),ISBLANK(G21))</formula>
    </cfRule>
  </conditionalFormatting>
  <conditionalFormatting sqref="E21">
    <cfRule type="expression" dxfId="2" priority="3">
      <formula>NOT(AND(ISBLANK(F21),ISBLANK(G21)))</formula>
    </cfRule>
  </conditionalFormatting>
  <conditionalFormatting sqref="D21">
    <cfRule type="expression" dxfId="1" priority="4">
      <formula>NOT(AND(ISBLANK(F21),ISBLANK(G21)))</formula>
    </cfRule>
  </conditionalFormatting>
  <conditionalFormatting sqref="H21">
    <cfRule type="cellIs" dxfId="0" priority="5" operator="equal">
      <formula>OR($C21="Number", $C21="Point")</formula>
    </cfRule>
  </conditionalFormatting>
  <dataValidations count="7">
    <dataValidation type="list" allowBlank="1" showInputMessage="1" showErrorMessage="1" sqref="C14 C16:C1048576" xr:uid="{8D07A762-66A8-4B2B-A245-4525B7E4700C}">
      <formula1>PropertyDataType</formula1>
    </dataValidation>
    <dataValidation type="list" allowBlank="1" showInputMessage="1" showErrorMessage="1" sqref="H14 H16:H1048576" xr:uid="{B7A724ED-174E-477E-956E-A62D8EF72D37}">
      <formula1>ECUnits</formula1>
    </dataValidation>
    <dataValidation type="list" allowBlank="1" showInputMessage="1" showErrorMessage="1" sqref="A2:A10 A16:A1048576" xr:uid="{1A7528B4-EF8B-4705-8177-2B8D1A86A390}">
      <formula1>RowHeader</formula1>
    </dataValidation>
    <dataValidation type="list" allowBlank="1" showInputMessage="1" showErrorMessage="1" sqref="E1 E11:E12 E32769:E1048576 E14:E15" xr:uid="{B157118E-77FE-4CCE-B883-8E631F9D793F}">
      <formula1>SpecialValues</formula1>
    </dataValidation>
    <dataValidation allowBlank="1" showInputMessage="1" showErrorMessage="1" sqref="E13" xr:uid="{DBCB94E2-80B0-4A87-9707-00F2F720BBCB}"/>
    <dataValidation type="list" allowBlank="1" showInputMessage="1" showErrorMessage="1" sqref="D16:D28" xr:uid="{87D27644-5965-4651-925C-5A8BD3CE9608}">
      <formula1>PickLists</formula1>
    </dataValidation>
    <dataValidation type="list" allowBlank="1" showInputMessage="1" sqref="E16:E32768" xr:uid="{4272710D-1BB0-4E50-9F08-05C28D775885}">
      <formula1>SpecialValues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_Asset Data Types</vt:lpstr>
      <vt:lpstr>_InternalListManagement</vt:lpstr>
      <vt:lpstr>_InternalUnitManagement</vt:lpstr>
      <vt:lpstr>_AssetNames</vt:lpstr>
      <vt:lpstr>_Filter Groups</vt:lpstr>
      <vt:lpstr>_Pick List Definitions</vt:lpstr>
      <vt:lpstr>_AssetTemplateDescription</vt:lpstr>
      <vt:lpstr>_AssetTemplate</vt:lpstr>
      <vt:lpstr>_Blank Asset</vt:lpstr>
      <vt:lpstr>Sign Panel Basic</vt:lpstr>
      <vt:lpstr>Sign (Stop)</vt:lpstr>
      <vt:lpstr>Sign (Stop) Lookup</vt:lpstr>
      <vt:lpstr>Sign Location</vt:lpstr>
      <vt:lpstr>Sign (Speed)</vt:lpstr>
      <vt:lpstr>Sign (Speed) Lookup</vt:lpstr>
      <vt:lpstr>Guardrail</vt:lpstr>
      <vt:lpstr>AssetNames</vt:lpstr>
      <vt:lpstr>ECUnits</vt:lpstr>
      <vt:lpstr>PickLists</vt:lpstr>
      <vt:lpstr>PropertyDataType</vt:lpstr>
      <vt:lpstr>RowHeader</vt:lpstr>
      <vt:lpstr>SpecialValues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2019-01-31T15:22:27Z</dcterms:created>
  <dcterms:modified xsi:type="dcterms:W3CDTF">2019-12-09T17:20:02Z</dcterms:modified>
</cp:coreProperties>
</file>